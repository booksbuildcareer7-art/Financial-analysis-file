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drawings/drawing1.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omments8.xml" ContentType="application/vnd.openxmlformats-officedocument.spreadsheetml.comments+xml"/>
  <Override PartName="/xl/drawings/drawing2.xml" ContentType="application/vnd.openxmlformats-officedocument.drawing+xml"/>
  <Override PartName="/xl/comments9.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Override PartName="/xl/threadedComments/threadedComment1.xml" ContentType="application/vnd.ms-excel.threadedcomments+xml"/>
  <Override PartName="/xl/threadedComments/threadedComment2.xml" ContentType="application/vnd.ms-excel.threadedcomments+xml"/>
  <Override PartName="/xl/threadedComments/threadedComment3.xml" ContentType="application/vnd.ms-excel.threadedcomments+xml"/>
  <Override PartName="/xl/threadedComments/threadedComment4.xml" ContentType="application/vnd.ms-excel.threadedcomments+xml"/>
  <Override PartName="/xl/threadedComments/threadedComment5.xml" ContentType="application/vnd.ms-excel.threadedcomments+xml"/>
  <Override PartName="/xl/threadedComments/threadedComment6.xml" ContentType="application/vnd.ms-excel.threadedcomments+xml"/>
  <Override PartName="/xl/threadedComments/threadedComment7.xml" ContentType="application/vnd.ms-excel.threadedcomments+xml"/>
  <Override PartName="/xl/threadedComments/threadedComment8.xml" ContentType="application/vnd.ms-excel.threadedcomments+xml"/>
  <Override PartName="/xl/threadedComments/threadedComment9.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D:\LinkedIn CVs\TAREQ\ZZZ___Claude\Excel analysis\fs\"/>
    </mc:Choice>
  </mc:AlternateContent>
  <xr:revisionPtr revIDLastSave="0" documentId="8_{15501233-234F-4250-8DE5-C1F1BBB582AE}" xr6:coauthVersionLast="47" xr6:coauthVersionMax="47" xr10:uidLastSave="{00000000-0000-0000-0000-000000000000}"/>
  <bookViews>
    <workbookView xWindow="-120" yWindow="-120" windowWidth="20730" windowHeight="11160" tabRatio="844" xr2:uid="{00000000-000D-0000-FFFF-FFFF00000000}"/>
  </bookViews>
  <sheets>
    <sheet name="Index" sheetId="4" r:id="rId1"/>
    <sheet name=" - FS " sheetId="1" r:id="rId2"/>
    <sheet name="EBITDA" sheetId="14" r:id="rId3"/>
    <sheet name="FS with Schedules" sheetId="21" r:id="rId4"/>
    <sheet name=" - CFS" sheetId="8" r:id="rId5"/>
    <sheet name="Imp Note" sheetId="15" r:id="rId6"/>
    <sheet name="FCFF (Unlevered)" sheetId="11" r:id="rId7"/>
    <sheet name="FCFE (Levered)" sheetId="10" r:id="rId8"/>
    <sheet name="WACC" sheetId="16" r:id="rId9"/>
    <sheet name=" Ratios " sheetId="3" r:id="rId10"/>
    <sheet name="Dashboard" sheetId="2" r:id="rId11"/>
    <sheet name="Resource" sheetId="7" r:id="rId12"/>
    <sheet name="Funds Flow - 23 Vs 24" sheetId="23" r:id="rId13"/>
    <sheet name="FFS 2024" sheetId="24" r:id="rId14"/>
    <sheet name="WC Calcn" sheetId="25" r:id="rId15"/>
    <sheet name="Flash Report CFO Dashboard" sheetId="18" r:id="rId16"/>
    <sheet name="Projections" sheetId="13" r:id="rId17"/>
    <sheet name="Old Funds Flow (incorrect)" sheetId="17" r:id="rId18"/>
  </sheets>
  <definedNames>
    <definedName name="_xlchart.v1.0" hidden="1">' - FS '!$B$8:$B$20</definedName>
    <definedName name="_xlchart.v1.1" hidden="1">' - FS '!$J$8:$J$20</definedName>
    <definedName name="_xlnm.Print_Area" localSheetId="10">Dashboard!$A$1:$AS$52</definedName>
    <definedName name="_xlnm.Print_Titles" localSheetId="3">'FS with Schedules'!$3:$3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94" i="25" l="1"/>
  <c r="C193" i="25"/>
  <c r="C192" i="25"/>
  <c r="C191" i="25"/>
  <c r="C190" i="25"/>
  <c r="C189" i="25"/>
  <c r="C188" i="25"/>
  <c r="C187" i="25"/>
  <c r="C186" i="25"/>
  <c r="C185" i="25"/>
  <c r="C184" i="25"/>
  <c r="C183" i="25"/>
  <c r="C182" i="25"/>
  <c r="F219" i="25"/>
  <c r="C180" i="25"/>
  <c r="G219" i="25"/>
  <c r="E219" i="25"/>
  <c r="D219" i="25"/>
  <c r="C218" i="25"/>
  <c r="C217" i="25"/>
  <c r="C216" i="25"/>
  <c r="C215" i="25"/>
  <c r="C214" i="25"/>
  <c r="C213" i="25"/>
  <c r="C212" i="25"/>
  <c r="C211" i="25"/>
  <c r="C210" i="25"/>
  <c r="C209" i="25"/>
  <c r="C208" i="25"/>
  <c r="C207" i="25"/>
  <c r="C206" i="25"/>
  <c r="C205" i="25"/>
  <c r="C204" i="25"/>
  <c r="C203" i="25"/>
  <c r="C202" i="25"/>
  <c r="C201" i="25"/>
  <c r="C200" i="25"/>
  <c r="C199" i="25"/>
  <c r="C198" i="25"/>
  <c r="C197" i="25"/>
  <c r="C196" i="25"/>
  <c r="C195" i="25"/>
  <c r="C181" i="25"/>
  <c r="F176" i="25"/>
  <c r="F178" i="25" s="1"/>
  <c r="C173" i="25"/>
  <c r="C177" i="25"/>
  <c r="C175" i="25"/>
  <c r="C174" i="25"/>
  <c r="C172" i="25"/>
  <c r="C171" i="25"/>
  <c r="C170" i="25"/>
  <c r="C169" i="25"/>
  <c r="C168" i="25"/>
  <c r="C167" i="25"/>
  <c r="C166" i="25"/>
  <c r="C165" i="25"/>
  <c r="C164" i="25"/>
  <c r="C163" i="25"/>
  <c r="E178" i="25"/>
  <c r="G178" i="25"/>
  <c r="D178" i="25"/>
  <c r="C160" i="25"/>
  <c r="C159" i="25"/>
  <c r="F152" i="25"/>
  <c r="C152" i="25" s="1"/>
  <c r="C156" i="25"/>
  <c r="C155" i="25"/>
  <c r="C154" i="25"/>
  <c r="C153" i="25"/>
  <c r="C151" i="25"/>
  <c r="C150" i="25"/>
  <c r="C149" i="25"/>
  <c r="C148" i="25"/>
  <c r="C147" i="25"/>
  <c r="C146" i="25"/>
  <c r="C145" i="25"/>
  <c r="C144" i="25"/>
  <c r="E157" i="25"/>
  <c r="D157" i="25"/>
  <c r="C110" i="25"/>
  <c r="C109" i="25"/>
  <c r="G132" i="25"/>
  <c r="F132" i="25"/>
  <c r="E132" i="25"/>
  <c r="D132" i="25"/>
  <c r="C90" i="25"/>
  <c r="C89" i="25"/>
  <c r="C88" i="25"/>
  <c r="C87" i="25"/>
  <c r="C86" i="25"/>
  <c r="C85" i="25"/>
  <c r="C97" i="25"/>
  <c r="C96" i="25"/>
  <c r="C95" i="25"/>
  <c r="C94" i="25"/>
  <c r="C93" i="25"/>
  <c r="C100" i="25"/>
  <c r="C106" i="25"/>
  <c r="C105" i="25"/>
  <c r="C104" i="25"/>
  <c r="C131" i="25"/>
  <c r="C130" i="25"/>
  <c r="C129" i="25"/>
  <c r="C128" i="25"/>
  <c r="C127" i="25"/>
  <c r="C126" i="25"/>
  <c r="C125" i="25"/>
  <c r="C124" i="25"/>
  <c r="C123" i="25"/>
  <c r="C122" i="25"/>
  <c r="C121" i="25"/>
  <c r="C120" i="25"/>
  <c r="C119" i="25"/>
  <c r="C118" i="25"/>
  <c r="C117" i="25"/>
  <c r="C116" i="25"/>
  <c r="C115" i="25"/>
  <c r="C114" i="25"/>
  <c r="C113" i="25"/>
  <c r="C112" i="25"/>
  <c r="C111" i="25"/>
  <c r="C135" i="25"/>
  <c r="C134" i="25"/>
  <c r="C136" i="25"/>
  <c r="D138" i="25"/>
  <c r="E138" i="25"/>
  <c r="C137" i="25"/>
  <c r="G138" i="25"/>
  <c r="F138" i="25"/>
  <c r="D107" i="25"/>
  <c r="F107" i="25"/>
  <c r="E107" i="25"/>
  <c r="E98" i="25"/>
  <c r="D91" i="25"/>
  <c r="C10" i="25"/>
  <c r="C9" i="25"/>
  <c r="C8" i="25"/>
  <c r="C7" i="25"/>
  <c r="G161" i="25"/>
  <c r="F161" i="25"/>
  <c r="E161" i="25"/>
  <c r="D161" i="25"/>
  <c r="G157" i="25"/>
  <c r="G102" i="25"/>
  <c r="G107" i="25" s="1"/>
  <c r="F102" i="25"/>
  <c r="E102" i="25"/>
  <c r="C101" i="25"/>
  <c r="G98" i="25"/>
  <c r="F98" i="25"/>
  <c r="G91" i="25"/>
  <c r="F91" i="25"/>
  <c r="E91" i="25"/>
  <c r="E74" i="25"/>
  <c r="C74" i="25" s="1"/>
  <c r="G72" i="25"/>
  <c r="F72" i="25"/>
  <c r="E72" i="25"/>
  <c r="D72" i="25"/>
  <c r="C71" i="25"/>
  <c r="C70" i="25"/>
  <c r="G68" i="25"/>
  <c r="F68" i="25"/>
  <c r="E68" i="25"/>
  <c r="D68" i="25"/>
  <c r="C67" i="25"/>
  <c r="C66" i="25"/>
  <c r="G60" i="25"/>
  <c r="F60" i="25"/>
  <c r="E60" i="25"/>
  <c r="D60" i="25"/>
  <c r="C59" i="25"/>
  <c r="C58" i="25"/>
  <c r="C63" i="25"/>
  <c r="C62" i="25"/>
  <c r="G64" i="25"/>
  <c r="F64" i="25"/>
  <c r="E64" i="25"/>
  <c r="D64" i="25"/>
  <c r="G54" i="25"/>
  <c r="F54" i="25"/>
  <c r="E54" i="25"/>
  <c r="D54" i="25"/>
  <c r="C53" i="25"/>
  <c r="C52" i="25"/>
  <c r="G50" i="25"/>
  <c r="F50" i="25"/>
  <c r="E50" i="25"/>
  <c r="D50" i="25"/>
  <c r="C49" i="25"/>
  <c r="C48" i="25"/>
  <c r="G46" i="25"/>
  <c r="F46" i="25"/>
  <c r="E46" i="25"/>
  <c r="D46" i="25"/>
  <c r="C45" i="25"/>
  <c r="C44" i="25"/>
  <c r="C40" i="25"/>
  <c r="G42" i="25"/>
  <c r="F42" i="25"/>
  <c r="E42" i="25"/>
  <c r="D42" i="25"/>
  <c r="C41" i="25"/>
  <c r="C36" i="25"/>
  <c r="C37" i="25"/>
  <c r="G38" i="25"/>
  <c r="F38" i="25"/>
  <c r="E38" i="25"/>
  <c r="D38" i="25"/>
  <c r="C33" i="25"/>
  <c r="C32" i="25"/>
  <c r="G34" i="25"/>
  <c r="F34" i="25"/>
  <c r="E34" i="25"/>
  <c r="D34" i="25"/>
  <c r="J72" i="21"/>
  <c r="C29" i="25"/>
  <c r="C28" i="25"/>
  <c r="E30" i="25"/>
  <c r="G30" i="25"/>
  <c r="F30" i="25"/>
  <c r="D30" i="25"/>
  <c r="G16" i="25"/>
  <c r="F16" i="25"/>
  <c r="E16" i="25"/>
  <c r="C15" i="25"/>
  <c r="C14" i="25"/>
  <c r="C13" i="25"/>
  <c r="C22" i="25"/>
  <c r="C19" i="25"/>
  <c r="C18" i="25"/>
  <c r="G20" i="25"/>
  <c r="F20" i="25"/>
  <c r="E20" i="25"/>
  <c r="D11" i="25"/>
  <c r="E11" i="25"/>
  <c r="F11" i="25"/>
  <c r="G11" i="25"/>
  <c r="C219" i="25" l="1"/>
  <c r="C176" i="25"/>
  <c r="C178" i="25" s="1"/>
  <c r="C161" i="25"/>
  <c r="F157" i="25"/>
  <c r="C157" i="25"/>
  <c r="C107" i="25"/>
  <c r="C102" i="25"/>
  <c r="C138" i="25"/>
  <c r="C132" i="25"/>
  <c r="C20" i="25"/>
  <c r="C91" i="25"/>
  <c r="C98" i="25"/>
  <c r="C11" i="25"/>
  <c r="C60" i="25"/>
  <c r="C72" i="25"/>
  <c r="C68" i="25"/>
  <c r="E56" i="25"/>
  <c r="C64" i="25"/>
  <c r="G56" i="25"/>
  <c r="F56" i="25"/>
  <c r="D56" i="25"/>
  <c r="C46" i="25"/>
  <c r="C54" i="25"/>
  <c r="C34" i="25"/>
  <c r="C50" i="25"/>
  <c r="C42" i="25"/>
  <c r="C38" i="25"/>
  <c r="C30" i="25"/>
  <c r="C16" i="25"/>
  <c r="C143" i="25" l="1"/>
  <c r="C83" i="25"/>
  <c r="C5" i="25"/>
  <c r="C56" i="25"/>
  <c r="C27" i="25" s="1"/>
  <c r="C80" i="25" l="1"/>
  <c r="C2" i="25"/>
  <c r="H75" i="23" l="1"/>
  <c r="H73" i="23"/>
  <c r="H46" i="23"/>
  <c r="H44" i="23"/>
  <c r="H71" i="23"/>
  <c r="G66" i="23"/>
  <c r="H69" i="23"/>
  <c r="H65" i="23"/>
  <c r="H41" i="23"/>
  <c r="H67" i="23"/>
  <c r="H40" i="23"/>
  <c r="H38" i="23"/>
  <c r="C82" i="23"/>
  <c r="J106" i="21"/>
  <c r="C49" i="23" l="1"/>
  <c r="C48" i="23"/>
  <c r="C46" i="23"/>
  <c r="I149" i="21"/>
  <c r="E71" i="23" l="1"/>
  <c r="C43" i="23"/>
  <c r="E70" i="23"/>
  <c r="E68" i="23"/>
  <c r="C69" i="23"/>
  <c r="C41" i="23"/>
  <c r="C47" i="23"/>
  <c r="D23" i="23"/>
  <c r="C23" i="23"/>
  <c r="D22" i="23"/>
  <c r="C22" i="23"/>
  <c r="D21" i="23"/>
  <c r="C21" i="23"/>
  <c r="D20" i="23"/>
  <c r="C20" i="23"/>
  <c r="F18" i="23"/>
  <c r="E18" i="23"/>
  <c r="D17" i="23"/>
  <c r="C17" i="23"/>
  <c r="C54" i="23"/>
  <c r="E40" i="23"/>
  <c r="F38" i="17"/>
  <c r="E38" i="17"/>
  <c r="E69" i="17"/>
  <c r="E67" i="17"/>
  <c r="C67" i="17"/>
  <c r="E65" i="17"/>
  <c r="C65" i="17"/>
  <c r="E7" i="17"/>
  <c r="E21" i="17" s="1"/>
  <c r="C16" i="17"/>
  <c r="C14" i="17"/>
  <c r="C9" i="17"/>
  <c r="C77" i="17" l="1"/>
  <c r="F20" i="23"/>
  <c r="F22" i="23"/>
  <c r="F23" i="23"/>
  <c r="F21" i="23"/>
  <c r="E59" i="23"/>
  <c r="E20" i="23"/>
  <c r="E23" i="23"/>
  <c r="E17" i="23"/>
  <c r="F17" i="23"/>
  <c r="E21" i="23"/>
  <c r="E22" i="23"/>
  <c r="C21" i="17"/>
  <c r="C59" i="23" l="1"/>
  <c r="C56" i="23"/>
  <c r="C11" i="16"/>
  <c r="J5" i="14" l="1"/>
  <c r="J20" i="14"/>
  <c r="J18" i="14"/>
  <c r="J14" i="14"/>
  <c r="J12" i="14"/>
  <c r="J10" i="14"/>
  <c r="J9" i="14"/>
  <c r="J7" i="14"/>
  <c r="J6" i="14"/>
  <c r="J155" i="21" l="1"/>
  <c r="J112" i="21"/>
  <c r="J78" i="21"/>
  <c r="J75" i="21"/>
  <c r="J76" i="21"/>
  <c r="J74" i="21"/>
  <c r="J73" i="21"/>
  <c r="J77" i="21"/>
  <c r="N15" i="21"/>
  <c r="J46" i="21"/>
  <c r="J20" i="21"/>
  <c r="J8" i="21"/>
  <c r="P14" i="21"/>
  <c r="P13" i="21"/>
  <c r="P12" i="21"/>
  <c r="P11" i="21"/>
  <c r="P10" i="21"/>
  <c r="P9" i="21"/>
  <c r="P8" i="21"/>
  <c r="P7" i="21"/>
  <c r="J7" i="21"/>
  <c r="J6" i="21"/>
  <c r="M15" i="21"/>
  <c r="L6" i="21"/>
  <c r="L15" i="21" s="1"/>
  <c r="J79" i="21" l="1"/>
  <c r="J91" i="21" s="1"/>
  <c r="C30" i="24" s="1"/>
  <c r="F19" i="24" s="1"/>
  <c r="P6" i="21"/>
  <c r="P16" i="21" s="1"/>
  <c r="P17" i="21" s="1"/>
  <c r="J16" i="14" l="1"/>
  <c r="D43" i="17" l="1"/>
  <c r="D42" i="17"/>
  <c r="D41" i="17"/>
  <c r="D40" i="17"/>
  <c r="C43" i="17"/>
  <c r="C42" i="17"/>
  <c r="C41" i="17"/>
  <c r="C40" i="17"/>
  <c r="C37" i="17"/>
  <c r="F43" i="17" l="1"/>
  <c r="E43" i="17"/>
  <c r="F40" i="17"/>
  <c r="E40" i="17"/>
  <c r="E41" i="17"/>
  <c r="F41" i="17"/>
  <c r="F42" i="17"/>
  <c r="E42" i="17"/>
  <c r="I19" i="3"/>
  <c r="H19" i="3"/>
  <c r="G19" i="3"/>
  <c r="F19" i="3"/>
  <c r="E19" i="3"/>
  <c r="D19" i="3"/>
  <c r="J10" i="3"/>
  <c r="J9" i="3"/>
  <c r="J8" i="3"/>
  <c r="H40" i="16"/>
  <c r="H39" i="16"/>
  <c r="H38" i="16"/>
  <c r="H37" i="16"/>
  <c r="H36" i="16"/>
  <c r="H35" i="16"/>
  <c r="H34" i="16"/>
  <c r="H33" i="16"/>
  <c r="H32" i="16"/>
  <c r="J41" i="10"/>
  <c r="J40" i="10"/>
  <c r="J39" i="10"/>
  <c r="J38" i="10"/>
  <c r="J37" i="10"/>
  <c r="J29" i="10"/>
  <c r="J34" i="10" s="1"/>
  <c r="J25" i="10"/>
  <c r="J24" i="10"/>
  <c r="J23" i="10"/>
  <c r="J22" i="10"/>
  <c r="J21" i="10"/>
  <c r="J20" i="10"/>
  <c r="J19" i="10"/>
  <c r="J18" i="10"/>
  <c r="J17" i="10"/>
  <c r="J16" i="10"/>
  <c r="J47" i="11"/>
  <c r="J46" i="11"/>
  <c r="J45" i="11"/>
  <c r="J44" i="11"/>
  <c r="J43" i="11"/>
  <c r="J35" i="11"/>
  <c r="J40" i="11" s="1"/>
  <c r="J31" i="11"/>
  <c r="J29" i="11"/>
  <c r="J26" i="11"/>
  <c r="J25" i="11"/>
  <c r="J24" i="11"/>
  <c r="J23" i="11"/>
  <c r="J22" i="11"/>
  <c r="J8" i="10"/>
  <c r="J13" i="11"/>
  <c r="J2" i="11"/>
  <c r="J30" i="8"/>
  <c r="D37" i="17"/>
  <c r="E37" i="17" s="1"/>
  <c r="J149" i="21"/>
  <c r="J113" i="21"/>
  <c r="D31" i="17" l="1"/>
  <c r="D11" i="23"/>
  <c r="J156" i="21"/>
  <c r="D19" i="23" s="1"/>
  <c r="F37" i="17"/>
  <c r="J12" i="3"/>
  <c r="J42" i="10"/>
  <c r="J26" i="10"/>
  <c r="J48" i="11"/>
  <c r="J32" i="11"/>
  <c r="D25" i="23" l="1"/>
  <c r="D39" i="17"/>
  <c r="J166" i="21"/>
  <c r="C36" i="24" s="1"/>
  <c r="J4" i="21"/>
  <c r="J62" i="8" l="1"/>
  <c r="J60" i="8"/>
  <c r="J56" i="8"/>
  <c r="J46" i="10" s="1"/>
  <c r="J47" i="8"/>
  <c r="J8" i="14"/>
  <c r="J11" i="14" s="1"/>
  <c r="J135" i="21"/>
  <c r="J142" i="21" s="1"/>
  <c r="J129" i="21"/>
  <c r="J118" i="21"/>
  <c r="J101" i="21"/>
  <c r="J120" i="21" s="1"/>
  <c r="J64" i="21"/>
  <c r="J57" i="21"/>
  <c r="J47" i="21"/>
  <c r="J34" i="21"/>
  <c r="J27" i="21"/>
  <c r="J15" i="21"/>
  <c r="J24" i="14"/>
  <c r="J64" i="1"/>
  <c r="J11" i="3" s="1"/>
  <c r="J56" i="1"/>
  <c r="J51" i="1"/>
  <c r="J42" i="1"/>
  <c r="J36" i="1"/>
  <c r="J23" i="1"/>
  <c r="J10" i="1"/>
  <c r="C28" i="24" l="1"/>
  <c r="C19" i="24"/>
  <c r="C32" i="24"/>
  <c r="D32" i="17"/>
  <c r="D12" i="23"/>
  <c r="D30" i="17"/>
  <c r="D10" i="23"/>
  <c r="D29" i="17"/>
  <c r="D9" i="23"/>
  <c r="J17" i="21"/>
  <c r="J36" i="21" s="1"/>
  <c r="J49" i="21" s="1"/>
  <c r="J61" i="21" s="1"/>
  <c r="J18" i="3"/>
  <c r="E22" i="3" s="1"/>
  <c r="J13" i="3"/>
  <c r="J14" i="3"/>
  <c r="J13" i="1"/>
  <c r="J4" i="3"/>
  <c r="J168" i="21"/>
  <c r="C38" i="24"/>
  <c r="C40" i="24" s="1"/>
  <c r="C23" i="24" s="1"/>
  <c r="J15" i="14"/>
  <c r="J17" i="14" s="1"/>
  <c r="J66" i="1"/>
  <c r="J44" i="1"/>
  <c r="J15" i="3" s="1"/>
  <c r="F22" i="3" s="1"/>
  <c r="J122" i="21" l="1"/>
  <c r="J170" i="21" s="1"/>
  <c r="D14" i="23"/>
  <c r="D27" i="23" s="1"/>
  <c r="J17" i="1"/>
  <c r="J5" i="3"/>
  <c r="J19" i="14"/>
  <c r="J21" i="14" s="1"/>
  <c r="J25" i="14" s="1"/>
  <c r="J15" i="11"/>
  <c r="J50" i="11" s="1"/>
  <c r="J52" i="11" s="1"/>
  <c r="J3" i="11" s="1"/>
  <c r="J65" i="21"/>
  <c r="J3" i="1"/>
  <c r="J68" i="1"/>
  <c r="J20" i="1" l="1"/>
  <c r="J7" i="3"/>
  <c r="J5" i="8"/>
  <c r="J23" i="8" s="1"/>
  <c r="J32" i="8" s="1"/>
  <c r="J38" i="8" s="1"/>
  <c r="I47" i="8"/>
  <c r="I32" i="11"/>
  <c r="I40" i="11"/>
  <c r="I48" i="11"/>
  <c r="C13" i="16"/>
  <c r="C3" i="16" s="1"/>
  <c r="J19" i="3" l="1"/>
  <c r="J58" i="8"/>
  <c r="J64" i="8" s="1"/>
  <c r="J24" i="1"/>
  <c r="J16" i="3"/>
  <c r="C22" i="3" s="1"/>
  <c r="J10" i="10"/>
  <c r="J44" i="10" s="1"/>
  <c r="J48" i="10" s="1"/>
  <c r="J50" i="10" s="1"/>
  <c r="J4" i="11" s="1"/>
  <c r="J6" i="3"/>
  <c r="J17" i="3"/>
  <c r="D22" i="3" s="1"/>
  <c r="H32" i="11"/>
  <c r="C42" i="10"/>
  <c r="C34" i="10"/>
  <c r="C16" i="10"/>
  <c r="C22" i="11"/>
  <c r="C32" i="11" s="1"/>
  <c r="C48" i="11"/>
  <c r="G40" i="11"/>
  <c r="I34" i="10"/>
  <c r="I26" i="10"/>
  <c r="H47" i="8"/>
  <c r="H26" i="10"/>
  <c r="I155" i="21"/>
  <c r="I156" i="21" s="1"/>
  <c r="I46" i="21"/>
  <c r="I47" i="21" s="1"/>
  <c r="I20" i="21"/>
  <c r="I9" i="21"/>
  <c r="I15" i="21" s="1"/>
  <c r="I166" i="21" l="1"/>
  <c r="C19" i="23"/>
  <c r="C39" i="17"/>
  <c r="C45" i="17" s="1"/>
  <c r="I24" i="14"/>
  <c r="I7" i="14"/>
  <c r="I64" i="1"/>
  <c r="I56" i="1"/>
  <c r="I51" i="1"/>
  <c r="I42" i="1"/>
  <c r="I36" i="1"/>
  <c r="I23" i="1"/>
  <c r="I10" i="1"/>
  <c r="I13" i="1" s="1"/>
  <c r="I17" i="1" s="1"/>
  <c r="I20" i="1" s="1"/>
  <c r="I24" i="1" s="1"/>
  <c r="C25" i="23" l="1"/>
  <c r="F19" i="23"/>
  <c r="E19" i="23"/>
  <c r="E39" i="17"/>
  <c r="F39" i="17"/>
  <c r="I44" i="1"/>
  <c r="I66" i="1"/>
  <c r="I68" i="1" s="1"/>
  <c r="H155" i="21" l="1"/>
  <c r="G155" i="21"/>
  <c r="H149" i="21"/>
  <c r="H156" i="21" s="1"/>
  <c r="G149" i="21"/>
  <c r="G156" i="21" s="1"/>
  <c r="F149" i="21"/>
  <c r="E149" i="21"/>
  <c r="E156" i="21" s="1"/>
  <c r="E166" i="21" s="1"/>
  <c r="D149" i="21"/>
  <c r="D156" i="21" s="1"/>
  <c r="D166" i="21" s="1"/>
  <c r="C149" i="21"/>
  <c r="C156" i="21" s="1"/>
  <c r="C166" i="21" s="1"/>
  <c r="I135" i="21"/>
  <c r="E71" i="17" s="1"/>
  <c r="H135" i="21"/>
  <c r="H142" i="21" s="1"/>
  <c r="G135" i="21"/>
  <c r="G142" i="21" s="1"/>
  <c r="F135" i="21"/>
  <c r="F142" i="21" s="1"/>
  <c r="E135" i="21"/>
  <c r="E142" i="21" s="1"/>
  <c r="D135" i="21"/>
  <c r="D142" i="21" s="1"/>
  <c r="C135" i="21"/>
  <c r="C142" i="21" s="1"/>
  <c r="I129" i="21"/>
  <c r="H129" i="21"/>
  <c r="G129" i="21"/>
  <c r="F129" i="21"/>
  <c r="E129" i="21"/>
  <c r="D129" i="21"/>
  <c r="C125" i="21"/>
  <c r="C129" i="21" s="1"/>
  <c r="I118" i="21"/>
  <c r="H118" i="21"/>
  <c r="G118" i="21"/>
  <c r="F118" i="21"/>
  <c r="E118" i="21"/>
  <c r="D118" i="21"/>
  <c r="C118" i="21"/>
  <c r="I113" i="21"/>
  <c r="H113" i="21"/>
  <c r="G113" i="21"/>
  <c r="F113" i="21"/>
  <c r="E113" i="21"/>
  <c r="D113" i="21"/>
  <c r="C113" i="21"/>
  <c r="I106" i="21"/>
  <c r="H106" i="21"/>
  <c r="G106" i="21"/>
  <c r="F106" i="21"/>
  <c r="E106" i="21"/>
  <c r="D106" i="21"/>
  <c r="C106" i="21"/>
  <c r="I101" i="21"/>
  <c r="H101" i="21"/>
  <c r="G101" i="21"/>
  <c r="F101" i="21"/>
  <c r="E101" i="21"/>
  <c r="D101" i="21"/>
  <c r="C101" i="21"/>
  <c r="I79" i="21"/>
  <c r="H79" i="21"/>
  <c r="G79" i="21"/>
  <c r="G91" i="21" s="1"/>
  <c r="F79" i="21"/>
  <c r="F91" i="21" s="1"/>
  <c r="E79" i="21"/>
  <c r="E91" i="21" s="1"/>
  <c r="D79" i="21"/>
  <c r="D91" i="21" s="1"/>
  <c r="C79" i="21"/>
  <c r="C91" i="21" s="1"/>
  <c r="D69" i="21"/>
  <c r="E69" i="21" s="1"/>
  <c r="F69" i="21" s="1"/>
  <c r="G69" i="21" s="1"/>
  <c r="H69" i="21" s="1"/>
  <c r="I69" i="21" s="1"/>
  <c r="J69" i="21" s="1"/>
  <c r="I64" i="21"/>
  <c r="H64" i="21"/>
  <c r="G64" i="21"/>
  <c r="F64" i="21"/>
  <c r="E64" i="21"/>
  <c r="D64" i="21"/>
  <c r="C64" i="21"/>
  <c r="I57" i="21"/>
  <c r="H47" i="21"/>
  <c r="D47" i="21"/>
  <c r="C47" i="21"/>
  <c r="F46" i="21"/>
  <c r="F47" i="21" s="1"/>
  <c r="E46" i="21"/>
  <c r="E47" i="21" s="1"/>
  <c r="G42" i="21"/>
  <c r="G47" i="21" s="1"/>
  <c r="I34" i="21"/>
  <c r="H34" i="21"/>
  <c r="G34" i="21"/>
  <c r="F34" i="21"/>
  <c r="E34" i="21"/>
  <c r="D34" i="21"/>
  <c r="C34" i="21"/>
  <c r="I27" i="21"/>
  <c r="F27" i="21"/>
  <c r="E27" i="21"/>
  <c r="D27" i="21"/>
  <c r="C27" i="21"/>
  <c r="H20" i="21"/>
  <c r="H27" i="21" s="1"/>
  <c r="G20" i="21"/>
  <c r="G27" i="21" s="1"/>
  <c r="I17" i="21"/>
  <c r="F15" i="21"/>
  <c r="F17" i="21" s="1"/>
  <c r="E15" i="21"/>
  <c r="E17" i="21" s="1"/>
  <c r="D15" i="21"/>
  <c r="D17" i="21" s="1"/>
  <c r="C15" i="21"/>
  <c r="C17" i="21" s="1"/>
  <c r="H9" i="21"/>
  <c r="H15" i="21" s="1"/>
  <c r="H17" i="21" s="1"/>
  <c r="G9" i="21"/>
  <c r="G15" i="21" s="1"/>
  <c r="G17" i="21" s="1"/>
  <c r="D3" i="21"/>
  <c r="E3" i="21" s="1"/>
  <c r="F3" i="21" s="1"/>
  <c r="G3" i="21" s="1"/>
  <c r="H3" i="21" s="1"/>
  <c r="I3" i="21" s="1"/>
  <c r="J3" i="21" s="1"/>
  <c r="C32" i="17" l="1"/>
  <c r="C12" i="23"/>
  <c r="C31" i="17"/>
  <c r="F31" i="17" s="1"/>
  <c r="C11" i="23"/>
  <c r="I91" i="21"/>
  <c r="C7" i="17"/>
  <c r="C18" i="17" s="1"/>
  <c r="E73" i="17" s="1"/>
  <c r="C29" i="17"/>
  <c r="E29" i="17" s="1"/>
  <c r="C9" i="23"/>
  <c r="C30" i="17"/>
  <c r="F30" i="17" s="1"/>
  <c r="C10" i="23"/>
  <c r="E32" i="17"/>
  <c r="F32" i="17"/>
  <c r="I142" i="21"/>
  <c r="I168" i="21" s="1"/>
  <c r="D34" i="17"/>
  <c r="F156" i="21"/>
  <c r="F166" i="21" s="1"/>
  <c r="F168" i="21" s="1"/>
  <c r="H91" i="21"/>
  <c r="H166" i="21"/>
  <c r="H168" i="21" s="1"/>
  <c r="G166" i="21"/>
  <c r="G168" i="21" s="1"/>
  <c r="F120" i="21"/>
  <c r="F122" i="21" s="1"/>
  <c r="E168" i="21"/>
  <c r="C120" i="21"/>
  <c r="C122" i="21" s="1"/>
  <c r="D120" i="21"/>
  <c r="D122" i="21" s="1"/>
  <c r="G120" i="21"/>
  <c r="G122" i="21" s="1"/>
  <c r="I36" i="21"/>
  <c r="G36" i="21"/>
  <c r="G49" i="21" s="1"/>
  <c r="G61" i="21" s="1"/>
  <c r="G65" i="21" s="1"/>
  <c r="C36" i="21"/>
  <c r="C49" i="21" s="1"/>
  <c r="C61" i="21" s="1"/>
  <c r="C65" i="21" s="1"/>
  <c r="D36" i="21"/>
  <c r="D49" i="21" s="1"/>
  <c r="D61" i="21" s="1"/>
  <c r="D65" i="21" s="1"/>
  <c r="E120" i="21"/>
  <c r="E122" i="21" s="1"/>
  <c r="E36" i="21"/>
  <c r="E49" i="21" s="1"/>
  <c r="E61" i="21" s="1"/>
  <c r="E65" i="21" s="1"/>
  <c r="H120" i="21"/>
  <c r="F36" i="21"/>
  <c r="F49" i="21" s="1"/>
  <c r="F61" i="21" s="1"/>
  <c r="F65" i="21" s="1"/>
  <c r="I120" i="21"/>
  <c r="H36" i="21"/>
  <c r="H49" i="21" s="1"/>
  <c r="H61" i="21" s="1"/>
  <c r="H65" i="21" s="1"/>
  <c r="C168" i="21"/>
  <c r="D168" i="21"/>
  <c r="F29" i="17" l="1"/>
  <c r="F47" i="17" s="1"/>
  <c r="E31" i="17"/>
  <c r="C34" i="17"/>
  <c r="C47" i="17" s="1"/>
  <c r="F10" i="23"/>
  <c r="E10" i="23"/>
  <c r="C14" i="23"/>
  <c r="C27" i="23" s="1"/>
  <c r="D29" i="23" s="1"/>
  <c r="F9" i="23"/>
  <c r="E9" i="23"/>
  <c r="E30" i="17"/>
  <c r="E47" i="17" s="1"/>
  <c r="F11" i="23"/>
  <c r="E11" i="23"/>
  <c r="I122" i="21"/>
  <c r="I170" i="21" s="1"/>
  <c r="F12" i="23"/>
  <c r="E12" i="23"/>
  <c r="H122" i="21"/>
  <c r="H170" i="21" s="1"/>
  <c r="D45" i="17"/>
  <c r="D47" i="17" s="1"/>
  <c r="I49" i="21"/>
  <c r="G170" i="21"/>
  <c r="C170" i="21"/>
  <c r="D170" i="21"/>
  <c r="E170" i="21"/>
  <c r="F170" i="21"/>
  <c r="H40" i="11"/>
  <c r="I30" i="8"/>
  <c r="G68" i="23" l="1"/>
  <c r="G75" i="23" s="1"/>
  <c r="H77" i="23" s="1"/>
  <c r="E80" i="23"/>
  <c r="E82" i="23" s="1"/>
  <c r="E83" i="23" s="1"/>
  <c r="E49" i="17"/>
  <c r="E75" i="17" s="1"/>
  <c r="E77" i="17" s="1"/>
  <c r="E78" i="17" s="1"/>
  <c r="F27" i="23"/>
  <c r="E27" i="23"/>
  <c r="D49" i="17"/>
  <c r="I61" i="21"/>
  <c r="I65" i="21" s="1"/>
  <c r="I8" i="14"/>
  <c r="E29" i="23" l="1"/>
  <c r="D119" i="16"/>
  <c r="D118" i="16"/>
  <c r="D117" i="16"/>
  <c r="D84" i="16"/>
  <c r="D85" i="16" s="1"/>
  <c r="D86" i="16" s="1"/>
  <c r="L77" i="16"/>
  <c r="M77" i="16" s="1"/>
  <c r="G77" i="16"/>
  <c r="H77" i="16" s="1"/>
  <c r="D120" i="16" l="1"/>
  <c r="N83" i="16"/>
  <c r="N84" i="16" s="1"/>
  <c r="O84" i="16" s="1"/>
  <c r="E84" i="16"/>
  <c r="F84" i="16" s="1"/>
  <c r="E92" i="16"/>
  <c r="E90" i="16"/>
  <c r="E89" i="16"/>
  <c r="E87" i="16"/>
  <c r="E85" i="16"/>
  <c r="F85" i="16" s="1"/>
  <c r="E122" i="16" s="1"/>
  <c r="E91" i="16"/>
  <c r="E88" i="16"/>
  <c r="E86" i="16"/>
  <c r="F86" i="16" s="1"/>
  <c r="E83" i="16"/>
  <c r="F83" i="16" s="1"/>
  <c r="D87" i="16"/>
  <c r="O83" i="16"/>
  <c r="D2" i="11"/>
  <c r="E2" i="11" s="1"/>
  <c r="F2" i="11" s="1"/>
  <c r="G2" i="11" s="1"/>
  <c r="H2" i="11" s="1"/>
  <c r="I2" i="11" s="1"/>
  <c r="C30" i="8"/>
  <c r="C11" i="11"/>
  <c r="F32" i="11"/>
  <c r="G32" i="11"/>
  <c r="E32" i="11"/>
  <c r="D32" i="11"/>
  <c r="N85" i="16" l="1"/>
  <c r="N86" i="16" s="1"/>
  <c r="N87" i="16" s="1"/>
  <c r="N88" i="16" s="1"/>
  <c r="N89" i="16" s="1"/>
  <c r="N90" i="16" s="1"/>
  <c r="N91" i="16" s="1"/>
  <c r="N92" i="16" s="1"/>
  <c r="F87" i="16"/>
  <c r="D88" i="16"/>
  <c r="O85" i="16"/>
  <c r="C40" i="11"/>
  <c r="E40" i="11"/>
  <c r="I11" i="14"/>
  <c r="C16" i="14"/>
  <c r="C9" i="14"/>
  <c r="C7" i="14"/>
  <c r="C8" i="14" s="1"/>
  <c r="H24" i="14"/>
  <c r="G24" i="14"/>
  <c r="F24" i="14"/>
  <c r="E24" i="14"/>
  <c r="D24" i="14"/>
  <c r="C24" i="14"/>
  <c r="G16" i="14"/>
  <c r="F16" i="14"/>
  <c r="E16" i="14"/>
  <c r="D16" i="14"/>
  <c r="H10" i="14"/>
  <c r="G10" i="14"/>
  <c r="F10" i="14"/>
  <c r="E10" i="14"/>
  <c r="H9" i="14"/>
  <c r="G9" i="14"/>
  <c r="F9" i="14"/>
  <c r="E9" i="14"/>
  <c r="H7" i="14"/>
  <c r="H8" i="14" s="1"/>
  <c r="G7" i="14"/>
  <c r="G8" i="14" s="1"/>
  <c r="F7" i="14"/>
  <c r="F8" i="14" s="1"/>
  <c r="E7" i="14"/>
  <c r="E8" i="14" s="1"/>
  <c r="D7" i="14"/>
  <c r="D8" i="14" s="1"/>
  <c r="D11" i="14" s="1"/>
  <c r="D15" i="14" s="1"/>
  <c r="D5" i="14"/>
  <c r="E5" i="14" s="1"/>
  <c r="F5" i="14" s="1"/>
  <c r="G5" i="14" s="1"/>
  <c r="H5" i="14" s="1"/>
  <c r="I5" i="14" s="1"/>
  <c r="D13" i="11"/>
  <c r="E13" i="11" s="1"/>
  <c r="F13" i="11" s="1"/>
  <c r="G13" i="11" s="1"/>
  <c r="H13" i="11" s="1"/>
  <c r="I13" i="11" s="1"/>
  <c r="E26" i="10"/>
  <c r="D8" i="10"/>
  <c r="E8" i="10" s="1"/>
  <c r="F8" i="10" s="1"/>
  <c r="G8" i="10" s="1"/>
  <c r="H8" i="10" s="1"/>
  <c r="I8" i="10" s="1"/>
  <c r="I15" i="14" l="1"/>
  <c r="I17" i="14" s="1"/>
  <c r="F11" i="14"/>
  <c r="F15" i="14" s="1"/>
  <c r="F17" i="14" s="1"/>
  <c r="F15" i="11" s="1"/>
  <c r="D89" i="16"/>
  <c r="F88" i="16"/>
  <c r="O86" i="16"/>
  <c r="G11" i="14"/>
  <c r="G15" i="14" s="1"/>
  <c r="G17" i="14" s="1"/>
  <c r="G15" i="11" s="1"/>
  <c r="H11" i="14"/>
  <c r="H15" i="14" s="1"/>
  <c r="H17" i="14" s="1"/>
  <c r="H15" i="11" s="1"/>
  <c r="C11" i="14"/>
  <c r="C15" i="14" s="1"/>
  <c r="C17" i="14" s="1"/>
  <c r="C15" i="11" s="1"/>
  <c r="C50" i="11" s="1"/>
  <c r="F48" i="11"/>
  <c r="G48" i="11"/>
  <c r="H48" i="11"/>
  <c r="E48" i="11"/>
  <c r="D48" i="11"/>
  <c r="F40" i="11"/>
  <c r="D40" i="11"/>
  <c r="D17" i="14"/>
  <c r="E11" i="14"/>
  <c r="E15" i="14" s="1"/>
  <c r="E17" i="14" s="1"/>
  <c r="E15" i="11" s="1"/>
  <c r="C26" i="10"/>
  <c r="D34" i="10"/>
  <c r="H42" i="10"/>
  <c r="G42" i="10"/>
  <c r="G26" i="10"/>
  <c r="H34" i="10"/>
  <c r="D42" i="10"/>
  <c r="E42" i="10"/>
  <c r="I42" i="10"/>
  <c r="G34" i="10"/>
  <c r="F34" i="10"/>
  <c r="F42" i="10"/>
  <c r="F26" i="10"/>
  <c r="D26" i="10"/>
  <c r="E34" i="10"/>
  <c r="G50" i="11" l="1"/>
  <c r="G52" i="11" s="1"/>
  <c r="G3" i="11" s="1"/>
  <c r="E50" i="11"/>
  <c r="F50" i="11"/>
  <c r="H50" i="11"/>
  <c r="H52" i="11" s="1"/>
  <c r="H3" i="11" s="1"/>
  <c r="D15" i="11"/>
  <c r="D50" i="11" s="1"/>
  <c r="I15" i="11"/>
  <c r="I19" i="14"/>
  <c r="I21" i="14" s="1"/>
  <c r="I25" i="14" s="1"/>
  <c r="E52" i="11"/>
  <c r="E3" i="11" s="1"/>
  <c r="C52" i="11"/>
  <c r="C3" i="11" s="1"/>
  <c r="F52" i="11"/>
  <c r="F3" i="11" s="1"/>
  <c r="F19" i="14"/>
  <c r="F21" i="14" s="1"/>
  <c r="F25" i="14" s="1"/>
  <c r="H19" i="14"/>
  <c r="H21" i="14" s="1"/>
  <c r="H25" i="14" s="1"/>
  <c r="G19" i="14"/>
  <c r="G21" i="14" s="1"/>
  <c r="G25" i="14" s="1"/>
  <c r="F89" i="16"/>
  <c r="D90" i="16"/>
  <c r="O87" i="16"/>
  <c r="C19" i="14"/>
  <c r="C21" i="14" s="1"/>
  <c r="C25" i="14" s="1"/>
  <c r="D19" i="14"/>
  <c r="D21" i="14" s="1"/>
  <c r="D25" i="14" s="1"/>
  <c r="E19" i="14"/>
  <c r="E21" i="14" s="1"/>
  <c r="E25" i="14" s="1"/>
  <c r="I60" i="8"/>
  <c r="I62" i="8"/>
  <c r="I56" i="8"/>
  <c r="I46" i="10" s="1"/>
  <c r="C47" i="8"/>
  <c r="D30" i="8"/>
  <c r="C13" i="8"/>
  <c r="E47" i="8"/>
  <c r="E56" i="8"/>
  <c r="E46" i="10" s="1"/>
  <c r="D47" i="8"/>
  <c r="F47" i="8"/>
  <c r="G47" i="8"/>
  <c r="I50" i="11" l="1"/>
  <c r="I52" i="11" s="1"/>
  <c r="I3" i="11" s="1"/>
  <c r="D52" i="11"/>
  <c r="D3" i="11" s="1"/>
  <c r="D91" i="16"/>
  <c r="F90" i="16"/>
  <c r="O88" i="16"/>
  <c r="G56" i="8"/>
  <c r="G46" i="10" s="1"/>
  <c r="F56" i="8"/>
  <c r="F46" i="10" s="1"/>
  <c r="D56" i="8"/>
  <c r="D46" i="10" s="1"/>
  <c r="C56" i="8"/>
  <c r="C46" i="10" s="1"/>
  <c r="G30" i="8"/>
  <c r="F30" i="8"/>
  <c r="E30" i="8"/>
  <c r="F62" i="8"/>
  <c r="E62" i="8"/>
  <c r="D62" i="8"/>
  <c r="C62" i="8"/>
  <c r="F60" i="8"/>
  <c r="E60" i="8"/>
  <c r="D60" i="8"/>
  <c r="G62" i="8"/>
  <c r="G60" i="8"/>
  <c r="H56" i="8"/>
  <c r="H46" i="10" s="1"/>
  <c r="H30" i="8"/>
  <c r="H62" i="8"/>
  <c r="H60" i="8"/>
  <c r="O89" i="16" l="1"/>
  <c r="D92" i="16"/>
  <c r="F92" i="16" s="1"/>
  <c r="F91" i="16"/>
  <c r="D3" i="8"/>
  <c r="E3" i="8" s="1"/>
  <c r="F3" i="8" s="1"/>
  <c r="G3" i="8" s="1"/>
  <c r="H3" i="8" s="1"/>
  <c r="I3" i="8" s="1"/>
  <c r="J3" i="8" s="1"/>
  <c r="F94" i="16" l="1"/>
  <c r="O90" i="16"/>
  <c r="F24" i="3"/>
  <c r="I10" i="3"/>
  <c r="I9" i="3"/>
  <c r="I8" i="3"/>
  <c r="C24" i="3"/>
  <c r="C47" i="1"/>
  <c r="G64" i="1"/>
  <c r="G51" i="1"/>
  <c r="H64" i="1"/>
  <c r="G56" i="1"/>
  <c r="F56" i="1"/>
  <c r="E56" i="1"/>
  <c r="D56" i="1"/>
  <c r="C56" i="1"/>
  <c r="H51" i="1"/>
  <c r="H56" i="1"/>
  <c r="G23" i="1"/>
  <c r="F23" i="1"/>
  <c r="E23" i="1"/>
  <c r="D23" i="1"/>
  <c r="C23" i="1"/>
  <c r="H23" i="1"/>
  <c r="L109" i="16" l="1"/>
  <c r="F97" i="16"/>
  <c r="I5" i="8"/>
  <c r="I23" i="8" s="1"/>
  <c r="I32" i="8" s="1"/>
  <c r="I38" i="8" s="1"/>
  <c r="I58" i="8" s="1"/>
  <c r="I64" i="8" s="1"/>
  <c r="I11" i="3"/>
  <c r="H41" i="16"/>
  <c r="C31" i="16" s="1"/>
  <c r="O91" i="16"/>
  <c r="O92" i="16"/>
  <c r="I15" i="3"/>
  <c r="F23" i="3" s="1"/>
  <c r="I5" i="3"/>
  <c r="I13" i="3"/>
  <c r="I18" i="3"/>
  <c r="I14" i="3"/>
  <c r="I12" i="3"/>
  <c r="I4" i="3"/>
  <c r="E24" i="3"/>
  <c r="O94" i="16" l="1"/>
  <c r="N77" i="16" s="1"/>
  <c r="P77" i="16" s="1"/>
  <c r="I7" i="3"/>
  <c r="C23" i="16"/>
  <c r="C16" i="16" s="1"/>
  <c r="I17" i="3"/>
  <c r="D23" i="3" s="1"/>
  <c r="I3" i="1"/>
  <c r="F10" i="3"/>
  <c r="E10" i="3"/>
  <c r="D10" i="3"/>
  <c r="C10" i="3"/>
  <c r="H10" i="3"/>
  <c r="G10" i="3"/>
  <c r="C44" i="16" l="1"/>
  <c r="I10" i="10"/>
  <c r="I44" i="10" s="1"/>
  <c r="I48" i="10" s="1"/>
  <c r="I6" i="3"/>
  <c r="I16" i="3"/>
  <c r="C23" i="3" s="1"/>
  <c r="F9" i="3"/>
  <c r="E9" i="3"/>
  <c r="D9" i="3"/>
  <c r="C9" i="3"/>
  <c r="H9" i="3"/>
  <c r="G9" i="3"/>
  <c r="F8" i="3"/>
  <c r="E8" i="3"/>
  <c r="D8" i="3"/>
  <c r="C8" i="3"/>
  <c r="H8" i="3"/>
  <c r="G8" i="3"/>
  <c r="H12" i="3" l="1"/>
  <c r="G12" i="3"/>
  <c r="D12" i="3"/>
  <c r="F12" i="3"/>
  <c r="E12" i="3"/>
  <c r="C51" i="1"/>
  <c r="F51" i="1"/>
  <c r="E51" i="1"/>
  <c r="D51" i="1"/>
  <c r="C42" i="1"/>
  <c r="H36" i="1"/>
  <c r="G36" i="1"/>
  <c r="F36" i="1"/>
  <c r="E36" i="1"/>
  <c r="D36" i="1"/>
  <c r="C36" i="1"/>
  <c r="H11" i="3"/>
  <c r="G11" i="3"/>
  <c r="F64" i="1"/>
  <c r="F11" i="3" s="1"/>
  <c r="E64" i="1"/>
  <c r="E11" i="3" s="1"/>
  <c r="H42" i="1"/>
  <c r="H13" i="3" s="1"/>
  <c r="G42" i="1"/>
  <c r="F42" i="1"/>
  <c r="E42" i="1"/>
  <c r="H10" i="1"/>
  <c r="H13" i="1" s="1"/>
  <c r="G10" i="1"/>
  <c r="G13" i="1" s="1"/>
  <c r="G17" i="1" s="1"/>
  <c r="F10" i="1"/>
  <c r="F13" i="1" s="1"/>
  <c r="F17" i="1" s="1"/>
  <c r="E10" i="1"/>
  <c r="E13" i="1" s="1"/>
  <c r="E17" i="1" s="1"/>
  <c r="C64" i="1"/>
  <c r="C11" i="3" s="1"/>
  <c r="C10" i="1"/>
  <c r="E5" i="8" l="1"/>
  <c r="E20" i="1"/>
  <c r="F5" i="8"/>
  <c r="F20" i="1"/>
  <c r="H17" i="1"/>
  <c r="G5" i="8"/>
  <c r="G23" i="8" s="1"/>
  <c r="G32" i="8" s="1"/>
  <c r="G38" i="8" s="1"/>
  <c r="G58" i="8" s="1"/>
  <c r="G64" i="8" s="1"/>
  <c r="G20" i="1"/>
  <c r="I50" i="10"/>
  <c r="I4" i="11" s="1"/>
  <c r="H44" i="1"/>
  <c r="H15" i="3" s="1"/>
  <c r="D18" i="3"/>
  <c r="C18" i="3"/>
  <c r="G18" i="3"/>
  <c r="E18" i="3"/>
  <c r="F18" i="3"/>
  <c r="E13" i="3"/>
  <c r="E14" i="3"/>
  <c r="F13" i="3"/>
  <c r="F14" i="3"/>
  <c r="C13" i="1"/>
  <c r="C17" i="1" s="1"/>
  <c r="G13" i="3"/>
  <c r="G14" i="3"/>
  <c r="H18" i="3"/>
  <c r="H14" i="3"/>
  <c r="C66" i="1"/>
  <c r="C13" i="3"/>
  <c r="C14" i="3"/>
  <c r="C44" i="1"/>
  <c r="F66" i="1"/>
  <c r="G66" i="1"/>
  <c r="E66" i="1"/>
  <c r="F44" i="1"/>
  <c r="F15" i="3" s="1"/>
  <c r="G44" i="1"/>
  <c r="G15" i="3" s="1"/>
  <c r="E44" i="1"/>
  <c r="E15" i="3" s="1"/>
  <c r="H66" i="1"/>
  <c r="H5" i="8" l="1"/>
  <c r="H23" i="8" s="1"/>
  <c r="H20" i="1"/>
  <c r="C5" i="8"/>
  <c r="C23" i="8" s="1"/>
  <c r="C20" i="1"/>
  <c r="C15" i="3"/>
  <c r="C3" i="1"/>
  <c r="F7" i="3"/>
  <c r="F23" i="8"/>
  <c r="F32" i="8" s="1"/>
  <c r="F38" i="8" s="1"/>
  <c r="E7" i="3"/>
  <c r="E23" i="8"/>
  <c r="E32" i="8" s="1"/>
  <c r="E38" i="8" s="1"/>
  <c r="E58" i="8" s="1"/>
  <c r="E64" i="8" s="1"/>
  <c r="C7" i="3"/>
  <c r="H7" i="3"/>
  <c r="G7" i="3"/>
  <c r="C68" i="1"/>
  <c r="H68" i="1"/>
  <c r="F3" i="1"/>
  <c r="F68" i="1"/>
  <c r="E68" i="1"/>
  <c r="G68" i="1"/>
  <c r="G3" i="1"/>
  <c r="H3" i="1"/>
  <c r="E3" i="1"/>
  <c r="H32" i="8" l="1"/>
  <c r="H38" i="8" s="1"/>
  <c r="H58" i="8" s="1"/>
  <c r="H64" i="8" s="1"/>
  <c r="C32" i="8"/>
  <c r="C38" i="8" s="1"/>
  <c r="E24" i="1"/>
  <c r="E10" i="10"/>
  <c r="E44" i="10" s="1"/>
  <c r="G24" i="1"/>
  <c r="G10" i="10"/>
  <c r="G44" i="10" s="1"/>
  <c r="C10" i="10"/>
  <c r="C44" i="10" s="1"/>
  <c r="C48" i="10" s="1"/>
  <c r="H24" i="1"/>
  <c r="H10" i="10"/>
  <c r="H44" i="10" s="1"/>
  <c r="H48" i="10" s="1"/>
  <c r="F24" i="1"/>
  <c r="F10" i="10"/>
  <c r="F44" i="10" s="1"/>
  <c r="H16" i="3"/>
  <c r="G16" i="3"/>
  <c r="E16" i="3"/>
  <c r="C16" i="3"/>
  <c r="C24" i="1"/>
  <c r="F16" i="3"/>
  <c r="D24" i="3"/>
  <c r="C58" i="8" l="1"/>
  <c r="C64" i="8" s="1"/>
  <c r="C19" i="3"/>
  <c r="C6" i="3"/>
  <c r="C5" i="3"/>
  <c r="C4" i="3"/>
  <c r="D3" i="3"/>
  <c r="E3" i="3" s="1"/>
  <c r="F3" i="3" s="1"/>
  <c r="G3" i="3" s="1"/>
  <c r="H3" i="3" s="1"/>
  <c r="C50" i="10" l="1"/>
  <c r="C4" i="11" s="1"/>
  <c r="F48" i="10"/>
  <c r="F50" i="10" s="1"/>
  <c r="F4" i="11" s="1"/>
  <c r="G48" i="10"/>
  <c r="G50" i="10" s="1"/>
  <c r="G4" i="11" s="1"/>
  <c r="H50" i="10"/>
  <c r="H4" i="11" s="1"/>
  <c r="E48" i="10"/>
  <c r="E50" i="10" s="1"/>
  <c r="E4" i="11" s="1"/>
  <c r="C12" i="3"/>
  <c r="D64" i="1"/>
  <c r="D11" i="3" s="1"/>
  <c r="D42" i="1"/>
  <c r="D7" i="1"/>
  <c r="E7" i="1" s="1"/>
  <c r="F7" i="1" s="1"/>
  <c r="G7" i="1" s="1"/>
  <c r="H7" i="1" s="1"/>
  <c r="I7" i="1" s="1"/>
  <c r="J7" i="1" s="1"/>
  <c r="D29" i="1"/>
  <c r="E29" i="1" s="1"/>
  <c r="F29" i="1" s="1"/>
  <c r="G29" i="1" s="1"/>
  <c r="H29" i="1" s="1"/>
  <c r="I29" i="1" s="1"/>
  <c r="J29" i="1" s="1"/>
  <c r="D10" i="1"/>
  <c r="D13" i="3" l="1"/>
  <c r="D14" i="3"/>
  <c r="E23" i="3"/>
  <c r="D13" i="1"/>
  <c r="D17" i="1" s="1"/>
  <c r="D4" i="3"/>
  <c r="H4" i="3"/>
  <c r="G4" i="3"/>
  <c r="F4" i="3"/>
  <c r="E4" i="3"/>
  <c r="D66" i="1"/>
  <c r="D44" i="1"/>
  <c r="D15" i="3" s="1"/>
  <c r="D5" i="8" l="1"/>
  <c r="D20" i="1"/>
  <c r="D3" i="1"/>
  <c r="C17" i="3"/>
  <c r="E5" i="3"/>
  <c r="F5" i="3"/>
  <c r="G5" i="3"/>
  <c r="H5" i="3"/>
  <c r="D5" i="3"/>
  <c r="D68" i="1"/>
  <c r="D7" i="3" l="1"/>
  <c r="D23" i="8"/>
  <c r="D32" i="8" s="1"/>
  <c r="D38" i="8" s="1"/>
  <c r="D58" i="8" s="1"/>
  <c r="D64" i="8" s="1"/>
  <c r="D24" i="1" l="1"/>
  <c r="D10" i="10"/>
  <c r="D44" i="10" s="1"/>
  <c r="D16" i="3"/>
  <c r="E6" i="3"/>
  <c r="E17" i="3"/>
  <c r="F6" i="3"/>
  <c r="F17" i="3"/>
  <c r="G6" i="3"/>
  <c r="G17" i="3"/>
  <c r="H6" i="3"/>
  <c r="H17" i="3"/>
  <c r="D6" i="3"/>
  <c r="D17" i="3"/>
  <c r="F58" i="8" l="1"/>
  <c r="F64" i="8" s="1"/>
  <c r="D48" i="10" l="1"/>
  <c r="D50" i="10" s="1"/>
  <c r="D4" i="1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tc={FA0A6B1F-E035-4F90-B337-F701FA5177B9}</author>
    <author>tc={E5B14E74-87B5-44D5-897B-7B63C5667FBC}</author>
  </authors>
  <commentList>
    <comment ref="C15" authorId="0" shapeId="0" xr:uid="{FA0A6B1F-E035-4F90-B337-F701FA5177B9}">
      <text>
        <r>
          <rPr>
            <sz val="12"/>
            <color theme="1"/>
            <rFont val="Arial Narrow"/>
            <family val="2"/>
          </rPr>
          <t>[Threaded comment]
Your version of Excel allows you to read this threaded comment; however, any edits to it will get removed if the file is opened in a newer version of Excel. Learn more: https://go.microsoft.com/fwlink/?linkid=870924
Comment:
    Provision for Pre Payments</t>
        </r>
      </text>
    </comment>
    <comment ref="C47" authorId="1" shapeId="0" xr:uid="{E5B14E74-87B5-44D5-897B-7B63C5667FBC}">
      <text>
        <r>
          <rPr>
            <sz val="12"/>
            <color theme="1"/>
            <rFont val="Arial Narrow"/>
            <family val="2"/>
          </rPr>
          <t>[Threaded comment]
Your version of Excel allows you to read this threaded comment; however, any edits to it will get removed if the file is opened in a newer version of Excel. Learn more: https://go.microsoft.com/fwlink/?linkid=870924
Comment:
    Increase in share capital by 26.25 mill riyal</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tc={C400B938-3F60-44B5-A39E-9EF0008973A1}</author>
  </authors>
  <commentList>
    <comment ref="C13" authorId="0" shapeId="0" xr:uid="{C400B938-3F60-44B5-A39E-9EF0008973A1}">
      <text>
        <r>
          <rPr>
            <sz val="12"/>
            <color theme="1"/>
            <rFont val="Arial Narrow"/>
            <family val="2"/>
          </rPr>
          <t>[Threaded comment]
Your version of Excel allows you to read this threaded comment; however, any edits to it will get removed if the file is opened in a newer version of Excel. Learn more: https://go.microsoft.com/fwlink/?linkid=870924
Comment:
    Provision for Pre Payments</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tc={BC04B41D-0CCB-4CF9-B5D3-9FD309D488C0}</author>
    <author>tc={70F4244E-BB5A-41DD-890A-691077047C94}</author>
    <author>tc={021C0E26-035B-498A-810B-A7F18394B103}</author>
    <author>tc={461BCC44-8230-4C74-829C-C995FECBA6D6}</author>
    <author>tc={6ED8D566-3760-4372-B702-CEA442A332B8}</author>
    <author>tc={CBA0F76A-CDEE-4E17-87C3-42E2FD951C8B}</author>
    <author>tc={473819E5-D38A-4A5A-B5EC-3472FB82D04F}</author>
    <author>tc={F92EA7FC-E1B0-41C7-8819-4E1D58C1530E}</author>
    <author>tc={638153DB-0E24-4265-AD5C-E6AE9554BE27}</author>
    <author>tc={6B6AB7D7-76B5-4A0D-8751-4AD9BF55B743}</author>
    <author>tc={FE5BD25E-A255-44EF-85F8-E627BA94B9BF}</author>
    <author>tc={57A43B36-0980-4395-9CB4-7C9545E62A1B}</author>
    <author>tc={08B6815C-FE75-43B6-8D5D-92E0850BA3C4}</author>
    <author>tc={4B8B6DD9-018F-4A91-BA51-D9B0EA2A9404}</author>
    <author>tc={D5077705-24F0-43D9-9685-721BE0F03F7E}</author>
    <author>tc={E2C145FC-F3A3-4053-AE68-72A467C7195A}</author>
    <author>tc={1D79BB7D-3E66-49D5-AEC8-3A07438C832E}</author>
    <author>tc={C1CE7F1E-5F3F-4E16-B1F2-E13624E76570}</author>
    <author>tc={6FDC4805-9AEC-4BA5-B9AA-9F4C25702A36}</author>
    <author>tc={A3B60634-B064-4ACF-AF66-707152EF115C}</author>
    <author>tc={089E1299-967D-4552-9D61-BC784DCB6CF6}</author>
    <author>tc={31D0917F-2AF4-4FCF-9557-BD04EC94FB1B}</author>
    <author>tc={43FBC64F-7104-4E29-802E-7E001DB98AD3}</author>
    <author>tc={4FAA2F57-F585-45BD-900D-D3485A19248E}</author>
    <author>tc={AE13318F-2C4E-451C-9B80-2FA667845856}</author>
    <author>tc={6BB3D1B9-B268-49AD-96BF-5D2A2D1B9227}</author>
    <author>tc={2597F0CC-D73C-4321-83EB-F9B4392559F3}</author>
    <author>tc={F09206FE-C344-4358-9B76-7FBBA01FA677}</author>
    <author>tc={6E606841-8A80-4A7C-BBA2-79FCE59FACE0}</author>
    <author>tc={B7A37DA7-7D32-486A-B7B6-BD04DBE16F6F}</author>
  </authors>
  <commentList>
    <comment ref="H7" authorId="0" shapeId="0" xr:uid="{BC04B41D-0CCB-4CF9-B5D3-9FD309D488C0}">
      <text>
        <r>
          <rPr>
            <sz val="12"/>
            <color theme="1"/>
            <rFont val="Arial Narrow"/>
            <family val="2"/>
          </rPr>
          <t>[Threaded comment]
Your version of Excel allows you to read this threaded comment; however, any edits to it will get removed if the file is opened in a newer version of Excel. Learn more: https://go.microsoft.com/fwlink/?linkid=870924
Comment:
    Leas Sheet &amp; Audit FS the Matl + employ cost is combined figure??? So required here to separate both</t>
        </r>
      </text>
    </comment>
    <comment ref="I7" authorId="1" shapeId="0" xr:uid="{70F4244E-BB5A-41DD-890A-691077047C94}">
      <text>
        <r>
          <rPr>
            <sz val="12"/>
            <color theme="1"/>
            <rFont val="Arial Narrow"/>
            <family val="2"/>
          </rPr>
          <t xml:space="preserve">[Threaded comment]
Your version of Excel allows you to read this threaded comment; however, any edits to it will get removed if the file is opened in a newer version of Excel. Learn more: https://go.microsoft.com/fwlink/?linkid=870924
Comment:
    This has nearly 1..25x Despite the Sales going down? How is this justified ? </t>
        </r>
      </text>
    </comment>
    <comment ref="I9" authorId="2" shapeId="0" xr:uid="{021C0E26-035B-498A-810B-A7F18394B103}">
      <text>
        <r>
          <rPr>
            <sz val="12"/>
            <color theme="1"/>
            <rFont val="Arial Narrow"/>
            <family val="2"/>
          </rPr>
          <t>[Threaded comment]
Your version of Excel allows you to read this threaded comment; however, any edits to it will get removed if the file is opened in a newer version of Excel. Learn more: https://go.microsoft.com/fwlink/?linkid=870924
Comment:
    ROU added with PPE</t>
        </r>
      </text>
    </comment>
    <comment ref="G11" authorId="3" shapeId="0" xr:uid="{461BCC44-8230-4C74-829C-C995FECBA6D6}">
      <text>
        <r>
          <rPr>
            <sz val="12"/>
            <color theme="1"/>
            <rFont val="Arial Narrow"/>
            <family val="2"/>
          </rPr>
          <t xml:space="preserve">[Threaded comment]
Your version of Excel allows you to read this threaded comment; however, any edits to it will get removed if the file is opened in a newer version of Excel. Learn more: https://go.microsoft.com/fwlink/?linkid=870924
Comment:
    Maintenance only
</t>
        </r>
      </text>
    </comment>
    <comment ref="I11" authorId="4" shapeId="0" xr:uid="{6ED8D566-3760-4372-B702-CEA442A332B8}">
      <text>
        <r>
          <rPr>
            <sz val="12"/>
            <color theme="1"/>
            <rFont val="Arial Narrow"/>
            <family val="2"/>
          </rPr>
          <t xml:space="preserve">[Threaded comment]
Your version of Excel allows you to read this threaded comment; however, any edits to it will get removed if the file is opened in a newer version of Excel. Learn more: https://go.microsoft.com/fwlink/?linkid=870924
Comment:
    Add Classified to Utilities &amp; Spares </t>
        </r>
      </text>
    </comment>
    <comment ref="G12" authorId="5" shapeId="0" xr:uid="{CBA0F76A-CDEE-4E17-87C3-42E2FD951C8B}">
      <text>
        <r>
          <rPr>
            <sz val="12"/>
            <color theme="1"/>
            <rFont val="Arial Narrow"/>
            <family val="2"/>
          </rPr>
          <t xml:space="preserve">[Threaded comment]
Your version of Excel allows you to read this threaded comment; however, any edits to it will get removed if the file is opened in a newer version of Excel. Learn more: https://go.microsoft.com/fwlink/?linkid=870924
Comment:
    Short term lease Sch 15
</t>
        </r>
      </text>
    </comment>
    <comment ref="I13" authorId="6" shapeId="0" xr:uid="{473819E5-D38A-4A5A-B5EC-3472FB82D04F}">
      <text>
        <r>
          <rPr>
            <sz val="12"/>
            <color theme="1"/>
            <rFont val="Arial Narrow"/>
            <family val="2"/>
          </rPr>
          <t>[Threaded comment]
Your version of Excel allows you to read this threaded comment; however, any edits to it will get removed if the file is opened in a newer version of Excel. Learn more: https://go.microsoft.com/fwlink/?linkid=870924
Comment:
     Classified to Utilities &amp; Spares</t>
        </r>
      </text>
    </comment>
    <comment ref="I19" authorId="7" shapeId="0" xr:uid="{F92EA7FC-E1B0-41C7-8819-4E1D58C1530E}">
      <text>
        <r>
          <rPr>
            <sz val="12"/>
            <color theme="1"/>
            <rFont val="Arial Narrow"/>
            <family val="2"/>
          </rPr>
          <t xml:space="preserve">[Threaded comment]
Your version of Excel allows you to read this threaded comment; however, any edits to it will get removed if the file is opened in a newer version of Excel. Learn more: https://go.microsoft.com/fwlink/?linkid=870924
Comment:
    Salaries have gone up </t>
        </r>
      </text>
    </comment>
    <comment ref="G22" authorId="8" shapeId="0" xr:uid="{638153DB-0E24-4265-AD5C-E6AE9554BE27}">
      <text>
        <r>
          <rPr>
            <sz val="12"/>
            <color theme="1"/>
            <rFont val="Arial Narrow"/>
            <family val="2"/>
          </rPr>
          <t>[Threaded comment]
Your version of Excel allows you to read this threaded comment; however, any edits to it will get removed if the file is opened in a newer version of Excel. Learn more: https://go.microsoft.com/fwlink/?linkid=870924
Comment:
    Short term lease</t>
        </r>
      </text>
    </comment>
    <comment ref="I30" authorId="9" shapeId="0" xr:uid="{6B6AB7D7-76B5-4A0D-8751-4AD9BF55B743}">
      <text>
        <r>
          <rPr>
            <sz val="12"/>
            <color theme="1"/>
            <rFont val="Arial Narrow"/>
            <family val="2"/>
          </rPr>
          <t>[Threaded comment]
Your version of Excel allows you to read this threaded comment; however, any edits to it will get removed if the file is opened in a newer version of Excel. Learn more: https://go.microsoft.com/fwlink/?linkid=870924
Comment:
    Need to check in freight cost and ways and means to rationalize the optimum route system</t>
        </r>
      </text>
    </comment>
    <comment ref="C40" authorId="10" shapeId="0" xr:uid="{FE5BD25E-A255-44EF-85F8-E627BA94B9BF}">
      <text>
        <r>
          <rPr>
            <sz val="12"/>
            <color theme="1"/>
            <rFont val="Arial Narrow"/>
            <family val="2"/>
          </rPr>
          <t>[Threaded comment]
Your version of Excel allows you to read this threaded comment; however, any edits to it will get removed if the file is opened in a newer version of Excel. Learn more: https://go.microsoft.com/fwlink/?linkid=870924
Comment:
    Provision for Pre Payments</t>
        </r>
      </text>
    </comment>
    <comment ref="I42" authorId="11" shapeId="0" xr:uid="{57A43B36-0980-4395-9CB4-7C9545E62A1B}">
      <text>
        <r>
          <rPr>
            <sz val="12"/>
            <color theme="1"/>
            <rFont val="Arial Narrow"/>
            <family val="2"/>
          </rPr>
          <t>[Threaded comment]
Your version of Excel allows you to read this threaded comment; however, any edits to it will get removed if the file is opened in a newer version of Excel. Learn more: https://go.microsoft.com/fwlink/?linkid=870924
Comment:
    Why exchange loss? Are we doing wrong hedging? Treasury needs to explain</t>
        </r>
      </text>
    </comment>
    <comment ref="G43" authorId="12" shapeId="0" xr:uid="{08B6815C-FE75-43B6-8D5D-92E0850BA3C4}">
      <text>
        <r>
          <rPr>
            <sz val="12"/>
            <color theme="1"/>
            <rFont val="Arial Narrow"/>
            <family val="2"/>
          </rPr>
          <t>[Threaded comment]
Your version of Excel allows you to read this threaded comment; however, any edits to it will get removed if the file is opened in a newer version of Excel. Learn more: https://go.microsoft.com/fwlink/?linkid=870924
Comment:
    Insurance Surplus Received</t>
        </r>
      </text>
    </comment>
    <comment ref="H45" authorId="13" shapeId="0" xr:uid="{4B8B6DD9-018F-4A91-BA51-D9B0EA2A9404}">
      <text>
        <r>
          <rPr>
            <sz val="12"/>
            <color theme="1"/>
            <rFont val="Arial Narrow"/>
            <family val="2"/>
          </rPr>
          <t>[Threaded comment]
Your version of Excel allows you to read this threaded comment; however, any edits to it will get removed if the file is opened in a newer version of Excel. Learn more: https://go.microsoft.com/fwlink/?linkid=870924
Comment:
    Insurance Surplus</t>
        </r>
      </text>
    </comment>
    <comment ref="I45" authorId="14" shapeId="0" xr:uid="{D5077705-24F0-43D9-9685-721BE0F03F7E}">
      <text>
        <r>
          <rPr>
            <sz val="12"/>
            <color theme="1"/>
            <rFont val="Arial Narrow"/>
            <family val="2"/>
          </rPr>
          <t>[Threaded comment]
Your version of Excel allows you to read this threaded comment; however, any edits to it will get removed if the file is opened in a newer version of Excel. Learn more: https://go.microsoft.com/fwlink/?linkid=870924
Comment:
    Where has scrap sales gone ?</t>
        </r>
      </text>
    </comment>
    <comment ref="I51" authorId="15" shapeId="0" xr:uid="{E2C145FC-F3A3-4053-AE68-72A467C7195A}">
      <text>
        <r>
          <rPr>
            <sz val="12"/>
            <color theme="1"/>
            <rFont val="Arial Narrow"/>
            <family val="2"/>
          </rPr>
          <t>[Threaded comment]
Your version of Excel allows you to read this threaded comment; however, any edits to it will get removed if the file is opened in a newer version of Excel. Learn more: https://go.microsoft.com/fwlink/?linkid=870924
Comment:
    Need detailed update on such high cost of funds or service charges ? This needs to be controlled</t>
        </r>
      </text>
    </comment>
    <comment ref="I56" authorId="16" shapeId="0" xr:uid="{1D79BB7D-3E66-49D5-AEC8-3A07438C832E}">
      <text>
        <r>
          <rPr>
            <sz val="12"/>
            <color theme="1"/>
            <rFont val="Arial Narrow"/>
            <family val="2"/>
          </rPr>
          <t>[Threaded comment]
Your version of Excel allows you to read this threaded comment; however, any edits to it will get removed if the file is opened in a newer version of Excel. Learn more: https://go.microsoft.com/fwlink/?linkid=870924
Comment:
    Int on employees defined benefit liablities</t>
        </r>
      </text>
    </comment>
    <comment ref="D72" authorId="17" shapeId="0" xr:uid="{C1CE7F1E-5F3F-4E16-B1F2-E13624E76570}">
      <text>
        <r>
          <rPr>
            <sz val="12"/>
            <color theme="1"/>
            <rFont val="Arial Narrow"/>
            <family val="2"/>
          </rPr>
          <t>[Threaded comment]
Your version of Excel allows you to read this threaded comment; however, any edits to it will get removed if the file is opened in a newer version of Excel. Learn more: https://go.microsoft.com/fwlink/?linkid=870924
Comment:
    IFRS adj transfer of 1.35m land increase</t>
        </r>
      </text>
    </comment>
    <comment ref="D73" authorId="18" shapeId="0" xr:uid="{6FDC4805-9AEC-4BA5-B9AA-9F4C25702A36}">
      <text>
        <r>
          <rPr>
            <sz val="12"/>
            <color theme="1"/>
            <rFont val="Arial Narrow"/>
            <family val="2"/>
          </rPr>
          <t>[Threaded comment]
Your version of Excel allows you to read this threaded comment; however, any edits to it will get removed if the file is opened in a newer version of Excel. Learn more: https://go.microsoft.com/fwlink/?linkid=870924
Comment:
    Add of bldg asset 1.46m</t>
        </r>
      </text>
    </comment>
    <comment ref="D74" authorId="19" shapeId="0" xr:uid="{A3B60634-B064-4ACF-AF66-707152EF115C}">
      <text>
        <r>
          <rPr>
            <sz val="12"/>
            <color theme="1"/>
            <rFont val="Arial Narrow"/>
            <family val="2"/>
          </rPr>
          <t>[Threaded comment]
Your version of Excel allows you to read this threaded comment; however, any edits to it will get removed if the file is opened in a newer version of Excel. Learn more: https://go.microsoft.com/fwlink/?linkid=870924
Comment:
    Add 26.34m machine n plant</t>
        </r>
      </text>
    </comment>
    <comment ref="D75" authorId="20" shapeId="0" xr:uid="{089E1299-967D-4552-9D61-BC784DCB6CF6}">
      <text>
        <r>
          <rPr>
            <sz val="12"/>
            <color theme="1"/>
            <rFont val="Arial Narrow"/>
            <family val="2"/>
          </rPr>
          <t>[Threaded comment]
Your version of Excel allows you to read this threaded comment; however, any edits to it will get removed if the file is opened in a newer version of Excel. Learn more: https://go.microsoft.com/fwlink/?linkid=870924
Comment:
    Add 1m new</t>
        </r>
      </text>
    </comment>
    <comment ref="D76" authorId="21" shapeId="0" xr:uid="{31D0917F-2AF4-4FCF-9557-BD04EC94FB1B}">
      <text>
        <r>
          <rPr>
            <sz val="12"/>
            <color theme="1"/>
            <rFont val="Arial Narrow"/>
            <family val="2"/>
          </rPr>
          <t>[Threaded comment]
Your version of Excel allows you to read this threaded comment; however, any edits to it will get removed if the file is opened in a newer version of Excel. Learn more: https://go.microsoft.com/fwlink/?linkid=870924
Comment:
    Add 476k vehicle new</t>
        </r>
      </text>
    </comment>
    <comment ref="D77" authorId="22" shapeId="0" xr:uid="{43FBC64F-7104-4E29-802E-7E001DB98AD3}">
      <text>
        <r>
          <rPr>
            <sz val="12"/>
            <color theme="1"/>
            <rFont val="Arial Narrow"/>
            <family val="2"/>
          </rPr>
          <t>[Threaded comment]
Your version of Excel allows you to read this threaded comment; however, any edits to it will get removed if the file is opened in a newer version of Excel. Learn more: https://go.microsoft.com/fwlink/?linkid=870924
Comment:
    CIP - 10m &amp; IFRS adjustment</t>
        </r>
      </text>
    </comment>
    <comment ref="I116" authorId="23" shapeId="0" xr:uid="{4FAA2F57-F585-45BD-900D-D3485A19248E}">
      <text>
        <r>
          <rPr>
            <sz val="12"/>
            <color theme="1"/>
            <rFont val="Arial Narrow"/>
            <family val="2"/>
          </rPr>
          <t>[Threaded comment]
Your version of Excel allows you to read this threaded comment; however, any edits to it will get removed if the file is opened in a newer version of Excel. Learn more: https://go.microsoft.com/fwlink/?linkid=870924
Comment:
    ARC Security Deposit with Anti Competition KSA commission</t>
        </r>
      </text>
    </comment>
    <comment ref="C125" authorId="24" shapeId="0" xr:uid="{AE13318F-2C4E-451C-9B80-2FA667845856}">
      <text>
        <r>
          <rPr>
            <sz val="12"/>
            <color theme="1"/>
            <rFont val="Arial Narrow"/>
            <family val="2"/>
          </rPr>
          <t>[Threaded comment]
Your version of Excel allows you to read this threaded comment; however, any edits to it will get removed if the file is opened in a newer version of Excel. Learn more: https://go.microsoft.com/fwlink/?linkid=870924
Comment:
    Increase in share capital by 26.25 mill riyal</t>
        </r>
      </text>
    </comment>
    <comment ref="G149" authorId="25" shapeId="0" xr:uid="{6BB3D1B9-B268-49AD-96BF-5D2A2D1B9227}">
      <text>
        <r>
          <rPr>
            <sz val="12"/>
            <color theme="1"/>
            <rFont val="Arial Narrow"/>
            <family val="2"/>
          </rPr>
          <t xml:space="preserve">[Threaded comment]
Your version of Excel allows you to read this threaded comment; however, any edits to it will get removed if the file is opened in a newer version of Excel. Learn more: https://go.microsoft.com/fwlink/?linkid=870924
Comment:
    FS has diff of -5
</t>
        </r>
      </text>
    </comment>
    <comment ref="G155" authorId="26" shapeId="0" xr:uid="{2597F0CC-D73C-4321-83EB-F9B4392559F3}">
      <text>
        <r>
          <rPr>
            <sz val="12"/>
            <color theme="1"/>
            <rFont val="Arial Narrow"/>
            <family val="2"/>
          </rPr>
          <t>[Threaded comment]
Your version of Excel allows you to read this threaded comment; however, any edits to it will get removed if the file is opened in a newer version of Excel. Learn more: https://go.microsoft.com/fwlink/?linkid=870924
Comment:
    Others 1.1m + Vat pay 2.6m</t>
        </r>
      </text>
    </comment>
    <comment ref="H155" authorId="27" shapeId="0" xr:uid="{F09206FE-C344-4358-9B76-7FBBA01FA677}">
      <text>
        <r>
          <rPr>
            <sz val="12"/>
            <color theme="1"/>
            <rFont val="Arial Narrow"/>
            <family val="2"/>
          </rPr>
          <t>[Threaded comment]
Your version of Excel allows you to read this threaded comment; however, any edits to it will get removed if the file is opened in a newer version of Excel. Learn more: https://go.microsoft.com/fwlink/?linkid=870924
Comment:
    Others 3.5m + Vat pay 4.2m + Dividends 11k</t>
        </r>
      </text>
    </comment>
    <comment ref="I155" authorId="28" shapeId="0" xr:uid="{6E606841-8A80-4A7C-BBA2-79FCE59FACE0}">
      <text>
        <r>
          <rPr>
            <sz val="12"/>
            <color theme="1"/>
            <rFont val="Arial Narrow"/>
            <family val="2"/>
          </rPr>
          <t>[Threaded comment]
Your version of Excel allows you to read this threaded comment; however, any edits to it will get removed if the file is opened in a newer version of Excel. Learn more: https://go.microsoft.com/fwlink/?linkid=870924
Comment:
    VAT Net + Div Payable + Others</t>
        </r>
      </text>
    </comment>
    <comment ref="J155" authorId="29" shapeId="0" xr:uid="{B7A37DA7-7D32-486A-B7B6-BD04DBE16F6F}">
      <text>
        <r>
          <rPr>
            <sz val="12"/>
            <color theme="1"/>
            <rFont val="Arial Narrow"/>
            <family val="2"/>
          </rPr>
          <t>[Threaded comment]
Your version of Excel allows you to read this threaded comment; however, any edits to it will get removed if the file is opened in a newer version of Excel. Learn more: https://go.microsoft.com/fwlink/?linkid=870924
Comment:
    Vat payable + Proposed Dividend</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tc={32944D60-6841-454C-B321-DB2A306FE6B6}</author>
  </authors>
  <commentList>
    <comment ref="C13" authorId="0" shapeId="0" xr:uid="{32944D60-6841-454C-B321-DB2A306FE6B6}">
      <text>
        <r>
          <rPr>
            <sz val="12"/>
            <color theme="1"/>
            <rFont val="Arial Narrow"/>
            <family val="2"/>
          </rPr>
          <t xml:space="preserve">[Threaded comment]
Your version of Excel allows you to read this threaded comment; however, any edits to it will get removed if the file is opened in a newer version of Excel. Learn more: https://go.microsoft.com/fwlink/?linkid=870924
Comment:
    Reversal of Depreciation Adjustment done here &amp; not separately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tc={DF4872BD-69F9-45B3-8A0B-A4412DA81C4C}</author>
  </authors>
  <commentList>
    <comment ref="C22" authorId="0" shapeId="0" xr:uid="{DF4872BD-69F9-45B3-8A0B-A4412DA81C4C}">
      <text>
        <r>
          <rPr>
            <sz val="12"/>
            <color theme="1"/>
            <rFont val="Arial Narrow"/>
            <family val="2"/>
          </rPr>
          <t xml:space="preserve">[Threaded comment]
Your version of Excel allows you to read this threaded comment; however, any edits to it will get removed if the file is opened in a newer version of Excel. Learn more: https://go.microsoft.com/fwlink/?linkid=870924
Comment:
    Reversal of Depreciation Adjustment done here &amp; not separately
</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tc={878744EB-CA9A-40B4-8F0C-28CB62D27C87}</author>
  </authors>
  <commentList>
    <comment ref="C16" authorId="0" shapeId="0" xr:uid="{878744EB-CA9A-40B4-8F0C-28CB62D27C87}">
      <text>
        <r>
          <rPr>
            <sz val="12"/>
            <color theme="1"/>
            <rFont val="Arial Narrow"/>
            <family val="2"/>
          </rPr>
          <t xml:space="preserve">[Threaded comment]
Your version of Excel allows you to read this threaded comment; however, any edits to it will get removed if the file is opened in a newer version of Excel. Learn more: https://go.microsoft.com/fwlink/?linkid=870924
Comment:
    Reversal of Depreciation Adjustment done here &amp; not separately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tc={E76B93BF-9A99-4633-90D5-470BFAB3ADCD}</author>
  </authors>
  <commentList>
    <comment ref="B27" authorId="0" shapeId="0" xr:uid="{E76B93BF-9A99-4633-90D5-470BFAB3ADCD}">
      <text>
        <r>
          <rPr>
            <sz val="12"/>
            <color theme="1"/>
            <rFont val="Arial Narrow"/>
            <family val="2"/>
          </rPr>
          <t>[Threaded comment]
Your version of Excel allows you to read this threaded comment; however, any edits to it will get removed if the file is opened in a newer version of Excel. Learn more: https://go.microsoft.com/fwlink/?linkid=870924
Comment:
    Check Page 115. KSA ERP Edition 2023</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tc={B62CD93E-1F4C-47E4-8935-3359D171ECF1}</author>
  </authors>
  <commentList>
    <comment ref="J46" authorId="0" shapeId="0" xr:uid="{B62CD93E-1F4C-47E4-8935-3359D171ECF1}">
      <text>
        <r>
          <rPr>
            <sz val="12"/>
            <color theme="1"/>
            <rFont val="Arial Narrow"/>
            <family val="2"/>
          </rPr>
          <t>[Threaded comment]
Your version of Excel allows you to read this threaded comment; however, any edits to it will get removed if the file is opened in a newer version of Excel. Learn more: https://go.microsoft.com/fwlink/?linkid=870924
Comment:
    Add the Dividends Payable 11k</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Mathew Bovas</author>
    <author>tc={195030CA-764C-4B06-95C9-7551C349A990}</author>
  </authors>
  <commentList>
    <comment ref="D58" authorId="0" shapeId="0" xr:uid="{510EB4CD-E3CF-4EFF-BD90-C0CC5F3919E3}">
      <text>
        <r>
          <rPr>
            <b/>
            <sz val="9"/>
            <color indexed="81"/>
            <rFont val="Tahoma"/>
            <family val="2"/>
          </rPr>
          <t>Mathew Bovas:</t>
        </r>
        <r>
          <rPr>
            <sz val="9"/>
            <color indexed="81"/>
            <rFont val="Tahoma"/>
            <family val="2"/>
          </rPr>
          <t xml:space="preserve">
Eliminate Lease Land is using  by  ARC.   Amount should be taken from  IFRS 16 Schedule .
</t>
        </r>
      </text>
    </comment>
    <comment ref="D100" authorId="0" shapeId="0" xr:uid="{D3782935-7822-40F0-A1A9-DA4E694D9E65}">
      <text>
        <r>
          <rPr>
            <b/>
            <sz val="9"/>
            <color indexed="81"/>
            <rFont val="Tahoma"/>
            <family val="2"/>
          </rPr>
          <t>Mathew Bovas:</t>
        </r>
        <r>
          <rPr>
            <sz val="9"/>
            <color indexed="81"/>
            <rFont val="Tahoma"/>
            <family val="2"/>
          </rPr>
          <t xml:space="preserve">
Eliminate  Jeddah  Lease Using  by  ARC
</t>
        </r>
      </text>
    </comment>
    <comment ref="F124" authorId="1" shapeId="0" xr:uid="{195030CA-764C-4B06-95C9-7551C349A990}">
      <text>
        <r>
          <rPr>
            <sz val="12"/>
            <color theme="1"/>
            <rFont val="Arial Narrow"/>
            <family val="2"/>
          </rPr>
          <t>[Threaded comment]
Your version of Excel allows you to read this threaded comment; however, any edits to it will get removed if the file is opened in a newer version of Excel. Learn more: https://go.microsoft.com/fwlink/?linkid=870924
Comment:
    Tawarruq ANB LTL</t>
        </r>
      </text>
    </comment>
  </commentList>
</comments>
</file>

<file path=xl/sharedStrings.xml><?xml version="1.0" encoding="utf-8"?>
<sst xmlns="http://schemas.openxmlformats.org/spreadsheetml/2006/main" count="1298" uniqueCount="951">
  <si>
    <t>Revenues</t>
  </si>
  <si>
    <t>Gross Profit</t>
  </si>
  <si>
    <t>Operating Profit</t>
  </si>
  <si>
    <t>Net Income</t>
  </si>
  <si>
    <t>INCOME STATEMENT</t>
  </si>
  <si>
    <t>Budgeted revenue</t>
  </si>
  <si>
    <t>BALANCE SHEET</t>
  </si>
  <si>
    <t>PP&amp;E</t>
  </si>
  <si>
    <t>Total Assets</t>
  </si>
  <si>
    <t>Current Liabilities</t>
  </si>
  <si>
    <t>Non-current Liabilities</t>
  </si>
  <si>
    <t>Check</t>
  </si>
  <si>
    <t>Balance sheet check</t>
  </si>
  <si>
    <t>FINANCIAL RATIOS</t>
  </si>
  <si>
    <t>Gross Margin</t>
  </si>
  <si>
    <t>Operating Margin</t>
  </si>
  <si>
    <t>Net Income Margin</t>
  </si>
  <si>
    <t>Current Ratio</t>
  </si>
  <si>
    <t>Quick Ratio</t>
  </si>
  <si>
    <t>Inventory Days</t>
  </si>
  <si>
    <t>Accounts Receivable Days</t>
  </si>
  <si>
    <t>Accounts Payable Days</t>
  </si>
  <si>
    <t>GROSS PROFIT MARGIN</t>
  </si>
  <si>
    <t>OPERATING PROFIT MARGIN</t>
  </si>
  <si>
    <t>NET INCOME MARGIN</t>
  </si>
  <si>
    <t>CASH CONVERSION CYCLE</t>
  </si>
  <si>
    <t xml:space="preserve">DEBT-TO-EQUITY </t>
  </si>
  <si>
    <t>CURRENT RATIO &amp; QUICK RATIO</t>
  </si>
  <si>
    <t>Value</t>
  </si>
  <si>
    <t>Blank</t>
  </si>
  <si>
    <t>Bottom</t>
  </si>
  <si>
    <t>Top</t>
  </si>
  <si>
    <t>ROE</t>
  </si>
  <si>
    <t>ROA</t>
  </si>
  <si>
    <t>Debt-to Equity</t>
  </si>
  <si>
    <t>Asset turnover</t>
  </si>
  <si>
    <t>EBIT</t>
  </si>
  <si>
    <t>TABLE OF CONTENTS</t>
  </si>
  <si>
    <t>1.Financial Statements</t>
  </si>
  <si>
    <t>In millions SAR</t>
  </si>
  <si>
    <t>(COGS)</t>
  </si>
  <si>
    <t>(Zakat)</t>
  </si>
  <si>
    <t>(General &amp; Administrative Expenses)</t>
  </si>
  <si>
    <t>Remeasurement of Employee Defined Benefits</t>
  </si>
  <si>
    <t>Total Comprehensive Income for Year .</t>
  </si>
  <si>
    <t>Right of Use Assets</t>
  </si>
  <si>
    <t>Intangible Assets</t>
  </si>
  <si>
    <t>Total Non-Current Assets</t>
  </si>
  <si>
    <t>Total Current Assets</t>
  </si>
  <si>
    <t>Inventories</t>
  </si>
  <si>
    <t>Trade Receivables</t>
  </si>
  <si>
    <t>Prepayments &amp; other current assets</t>
  </si>
  <si>
    <t>Bank &amp; Cash Balances</t>
  </si>
  <si>
    <t>Assets</t>
  </si>
  <si>
    <t>Share Capital</t>
  </si>
  <si>
    <t>Statutory Reserve</t>
  </si>
  <si>
    <t>Total Equity</t>
  </si>
  <si>
    <t xml:space="preserve">Employees defined benefits liabilities </t>
  </si>
  <si>
    <t>Total Shareholder's Equity &amp; Liabilities</t>
  </si>
  <si>
    <t>Trade Payables</t>
  </si>
  <si>
    <t>Accruals &amp; other current liabilities</t>
  </si>
  <si>
    <t>Current portion of lease liabilities</t>
  </si>
  <si>
    <t>Equity</t>
  </si>
  <si>
    <t>Operating Profit / Revenues</t>
  </si>
  <si>
    <t>Net Income / Revenues</t>
  </si>
  <si>
    <t>(Inventory / COGS)*365</t>
  </si>
  <si>
    <t xml:space="preserve">CA (except cash) - CL </t>
  </si>
  <si>
    <t>Revenues / Total Assets</t>
  </si>
  <si>
    <t>Net Income (PAT) / Shareholders Total</t>
  </si>
  <si>
    <t>Net Income (PAT) / Total Assets</t>
  </si>
  <si>
    <t>Return on Equity (ROE)</t>
  </si>
  <si>
    <t>Return on Assets (ROA)</t>
  </si>
  <si>
    <t>Net Working Capital</t>
  </si>
  <si>
    <t>1)</t>
  </si>
  <si>
    <t>2)</t>
  </si>
  <si>
    <t>3)</t>
  </si>
  <si>
    <t>4)</t>
  </si>
  <si>
    <t>5)</t>
  </si>
  <si>
    <t>6)</t>
  </si>
  <si>
    <t>7)</t>
  </si>
  <si>
    <t>8)</t>
  </si>
  <si>
    <t>9)</t>
  </si>
  <si>
    <t>10)</t>
  </si>
  <si>
    <t>11)</t>
  </si>
  <si>
    <t>12)</t>
  </si>
  <si>
    <t>13)</t>
  </si>
  <si>
    <t>14)</t>
  </si>
  <si>
    <t>15)</t>
  </si>
  <si>
    <t>Description</t>
  </si>
  <si>
    <t>Sr No</t>
  </si>
  <si>
    <t xml:space="preserve">Debt (Non CL) / Shareholders Total </t>
  </si>
  <si>
    <t>(Inventory + AR) - AP</t>
  </si>
  <si>
    <t>(AR / Revenues)*365</t>
  </si>
  <si>
    <t>(AP / COGS)*365</t>
  </si>
  <si>
    <t>CA / CL</t>
  </si>
  <si>
    <t>EBIT / Interest</t>
  </si>
  <si>
    <t>GP / Revenues</t>
  </si>
  <si>
    <t>(CA - Inventory) / CL</t>
  </si>
  <si>
    <t>(Selling &amp; Distributions Expenses)</t>
  </si>
  <si>
    <t>Reversal of expected credit losses</t>
  </si>
  <si>
    <t>Other Income (net)</t>
  </si>
  <si>
    <t>(Finance Cost)</t>
  </si>
  <si>
    <t>Share of OCI (loss) of an associate</t>
  </si>
  <si>
    <t>Other Comprehensive Profit (Loss) for the year</t>
  </si>
  <si>
    <t>Share in results of an associate company</t>
  </si>
  <si>
    <t>IFRS Yr</t>
  </si>
  <si>
    <t>Investment Properties</t>
  </si>
  <si>
    <t>Investment in an associate</t>
  </si>
  <si>
    <t>Term Loans</t>
  </si>
  <si>
    <t>Lease Liabilities</t>
  </si>
  <si>
    <t>Short Term Loans</t>
  </si>
  <si>
    <t>Current portion of term loans</t>
  </si>
  <si>
    <t>Zakat payable / provision</t>
  </si>
  <si>
    <t>General Reserve</t>
  </si>
  <si>
    <t>Retained Earnings / (Accumulated Losses)</t>
  </si>
  <si>
    <t>On the other hand, an interest coverage ratio of 1.5 is generally considered a minimum acceptable ratio for a company and the tipping point below which lenders will likely refuse to lend the company more money, as the company’s risk for default may be perceived as too high.</t>
  </si>
  <si>
    <t>If a company’s ratio is below one, it will likely need to spend some of its cash reserves to meet the difference or borrow more, which will be difficult for the reasons stated above. Otherwise, even if earnings are low for a single month, the company risks falling into bankruptcy.</t>
  </si>
  <si>
    <t>What Does a Bad Interest Coverage Ratio Indicate?</t>
  </si>
  <si>
    <r>
      <t>A bad interest coverage ratio is any number below one as this means that the company's current earnings are insufficient to service its outstanding debt. The chances of a company being able to continue to meet its </t>
    </r>
    <r>
      <rPr>
        <u/>
        <sz val="9"/>
        <rFont val="Arial"/>
        <family val="2"/>
      </rPr>
      <t>interest expenses</t>
    </r>
    <r>
      <rPr>
        <sz val="9"/>
        <rFont val="Arial"/>
        <family val="2"/>
      </rPr>
      <t> on an ongoing basis are still doubtful even with an interest coverage ratio below 1.5, especially if the company is vulnerable to seasonal or </t>
    </r>
    <r>
      <rPr>
        <u/>
        <sz val="9"/>
        <rFont val="Arial"/>
        <family val="2"/>
      </rPr>
      <t>cyclical</t>
    </r>
    <r>
      <rPr>
        <sz val="9"/>
        <rFont val="Arial"/>
        <family val="2"/>
      </rPr>
      <t> dips in revenues.</t>
    </r>
  </si>
  <si>
    <t>When a working capital calculation is positive, this means the company's current assets are greater than its current liabilities. The company has more than enough resources to cover its short-term debt, and there is residual cash should all current assets be liquidated to pay this debt.</t>
  </si>
  <si>
    <t>When a working capital calculation is negative, this means the company's current assets are not enough to pay for all of its current liabilities. The company has more short-term debt than it has short-term resources. Negative working capital is an indicator of poor short-term health, low liquidity, and potential problems paying its debt obligations as they become due.</t>
  </si>
  <si>
    <t>What Does a Positive or Negative WC indicate?</t>
  </si>
  <si>
    <t>Working capital is also a measure of a company’s operational efficiency and short-term financial health. If a company has substantial positive NWC, then it could have the potential to invest in expansion and grow the company. If a company’s current assets do not exceed its current liabilities, then it may have trouble growing or paying back creditors. It might even go bankrupt.</t>
  </si>
  <si>
    <t>The cash conversion cycle (CCC) is a metric that expresses the time (measured in days) that it takes for a company to convert its investments in inventory and other resources into cash flows from sales. Also called the net operating cycle or simply cash cycle, CCC attempts to measure how long each net input dollar is tied up in the production and sales process before it gets converted into cash received.</t>
  </si>
  <si>
    <t>This metric takes into account how much time the company needs to sell its inventory, how much time it takes to collect receivables, and how much time it has to pay its bills.</t>
  </si>
  <si>
    <t>Inventory management, sales realization, and payables are the three key ingredients of business. If any of these goes for a toss—say, inventory mismanagement, sales constraints, or payables increasing in number, value, or frequency—then the business is set to suffer. Beyond the monetary value involved, CCC accounts for the time involved in these processes that provides another view of the company’s operating efficiency.</t>
  </si>
  <si>
    <t>In addition to other financial measures, the CCC value indicates how efficiently a company’s management is using the short-term assets and liabilities to generate and redeploy the cash and gives a peek into the company’s financial health with respect to cash management. The figure also helps assess the liquidity risk linked to a company’s operations.</t>
  </si>
  <si>
    <t>What does a Higher or Lower CCC indicate?</t>
  </si>
  <si>
    <t>The higher the asset turnover ratio, the more efficient a company is at generating revenue from its assets. Conversely, if a company has a low asset turnover ratio, it indicates it is not efficiently using its assets to generate sales.</t>
  </si>
  <si>
    <t>The asset turnover ratio measures the value of a company's sales or revenues relative to the value of its assets. The asset turnover ratio can be used as an indicator of the efficiency with which a company is using its assets to generate revenue.</t>
  </si>
  <si>
    <t>What does a Higher or Lower A T/o indicate?</t>
  </si>
  <si>
    <t>Generally, a higher ratio is favored because it implies that the company is efficient in generating sales or revenues from its asset base. A lower ratio indicates that a company is not using its assets efficiently and may have internal problems.</t>
  </si>
  <si>
    <t>Net Working Capital (NWC)</t>
  </si>
  <si>
    <t>Asset Turnover Ratio (A T/o)</t>
  </si>
  <si>
    <t>Return on Assets Ratio (RoA)</t>
  </si>
  <si>
    <t>ROA is shown as a percentage, and the higher the number, the more efficient a company's management is at managing its balance sheet to generate profits.</t>
  </si>
  <si>
    <t>Return on assets is a profitability ratio that provides how much profit a company can generate from its assets. In other words, return on assets (ROA) measures how efficient a company's management is in earning a profit from their economic resources or assets on their balance sheet.</t>
  </si>
  <si>
    <t>Companies with a low ROA usually have more assets involved in generating their profits. Companies with a high ROA usually have fewer assets involved in generating their profits</t>
  </si>
  <si>
    <t>As a result, companies with a low ROA tend to have more debt since they need to finance the cost of the assets. Having more debt is not bad as long as management uses it effectively to generate earnings.A rising ROA tends to indicate a company is increasing its profits with each investment dollar invested in the company's total assets. A declining ROA may indicate a company might have made poor capital investment decisions and is not generating enough profit to justify the cost of purchasing those assets. A declining ROA could also indicate the company's profits are shrinking due to declining sales or revenue.</t>
  </si>
  <si>
    <t>What does a Higher or Lower RoA indicate?</t>
  </si>
  <si>
    <t>Debt to Equity Ratio (DE)</t>
  </si>
  <si>
    <t>Debt-to-equity (DE)</t>
  </si>
  <si>
    <t>Cash Conversion Cycle (CCC)</t>
  </si>
  <si>
    <t>Asset Turnover (A T/o)</t>
  </si>
  <si>
    <t>Interest Coverage (Times Interest Coverage)</t>
  </si>
  <si>
    <t xml:space="preserve">D/E ratio measures how much debt a company has taken on relative to the value of its assets net of liabilities. Debt must be repaid or refinanced, imposes interest expense that typically can’t be deferred, and could impair or destroy the value of equity in the event of a default. </t>
  </si>
  <si>
    <t>What does a Higher or Lower DE indicate?</t>
  </si>
  <si>
    <t>Generally speaking, a D/E ratio below 1 would be seen as relatively safe, whereas values of 2 or higher might be considered risky.</t>
  </si>
  <si>
    <t>A high D/E ratio is often associated with high investment risk; it means that a company relies primarily on debt financing.                                   If a company has a negative D/E ratio, this means that it has negative shareholder equity. In other words, the company’s liabilities exceed its assets. In most cases, this would be considered a sign of high risk and an incentive to seek bankruptcy protection.</t>
  </si>
  <si>
    <t>Working capital is important because it is necessary for businesses to remain solvent. In theory, a business could become bankrupt even if it is profitable. After all, a business cannot rely on paper profits to pay its bills—those bills need to be paid in cash readily in hand. Say a company has accumulated 1 million in cash due to its previous years’ retained earnings. If the company were to invest all 1 million at once, it could find itself with insufficient current assets to pay for its current liabilities.</t>
  </si>
  <si>
    <t xml:space="preserve">(Please ignore this above table as it is used for the dashboard Waterfall / Line charts. </t>
  </si>
  <si>
    <t>Need to define the Min / Max range as required to have a proper representation.)</t>
  </si>
  <si>
    <t>Note: Click on below subject and it will take you direct to the worksheet</t>
  </si>
  <si>
    <t>It is a measure of the degree to which a company is financing its operations with debt rather than its own resources. Debt-to-equity ratio is a particular type of gearing ratio.</t>
  </si>
  <si>
    <t>Cash Flow Statement</t>
  </si>
  <si>
    <t>Operating Activities</t>
  </si>
  <si>
    <t>Profit Before Tax (Zakat) PBT</t>
  </si>
  <si>
    <t>Depreciation of PPE</t>
  </si>
  <si>
    <t>Depreciation of Investmet Properties</t>
  </si>
  <si>
    <t>Depreciation of Right of Use Asset (Hire Purchase)</t>
  </si>
  <si>
    <t>Ammortization of Intangible Assets</t>
  </si>
  <si>
    <t xml:space="preserve">Provision for employees deemed benefit </t>
  </si>
  <si>
    <t xml:space="preserve">Discount on lease </t>
  </si>
  <si>
    <t>(loss) on disposal of PPE</t>
  </si>
  <si>
    <t>Finance Costs (interest)</t>
  </si>
  <si>
    <t xml:space="preserve">Inventories </t>
  </si>
  <si>
    <t>Pre-payments &amp; other Current Assets</t>
  </si>
  <si>
    <t>Accruals &amp; Other Current Liabilities</t>
  </si>
  <si>
    <t xml:space="preserve">Employees deemed benefit liabilities paid </t>
  </si>
  <si>
    <t>Tax (zakat) paid</t>
  </si>
  <si>
    <t>Net Cash from Operating Activities</t>
  </si>
  <si>
    <t>Investing Activities</t>
  </si>
  <si>
    <t>Purchase  of PPE</t>
  </si>
  <si>
    <t>Proceeds from disposal of PPE</t>
  </si>
  <si>
    <t>Addition to Right of use assets</t>
  </si>
  <si>
    <t>Net cash used In Investing Activities</t>
  </si>
  <si>
    <t>Financing Activities</t>
  </si>
  <si>
    <t>Net movement in Short Term Loan</t>
  </si>
  <si>
    <t xml:space="preserve">Dividends paid </t>
  </si>
  <si>
    <t>Net movement in Term Loans</t>
  </si>
  <si>
    <t>Payment of lease liabilities</t>
  </si>
  <si>
    <t xml:space="preserve">Net cash used in Financing Activities </t>
  </si>
  <si>
    <t xml:space="preserve">Bank &amp; Cash Balances at Start of Year </t>
  </si>
  <si>
    <t xml:space="preserve">Bank &amp; Cash Balances at End of Year </t>
  </si>
  <si>
    <t>A) Non Cash Adjustment to reconcile Tax with Net Income  (PBT)</t>
  </si>
  <si>
    <t>B) Working capital adjustments:</t>
  </si>
  <si>
    <t>Cash from operations</t>
  </si>
  <si>
    <t>Finance Costs paid</t>
  </si>
  <si>
    <t>Allowance against Accounts Receivable</t>
  </si>
  <si>
    <t>Allowance for Obsolete Inventory</t>
  </si>
  <si>
    <t>Gain / (Loss) against disposal of investment property</t>
  </si>
  <si>
    <t>Proceeds from disposal of investment properties</t>
  </si>
  <si>
    <t>Increase / (Decrease) in Bank &amp; Cash Balances</t>
  </si>
  <si>
    <t>(loss) on de-recognition of lease / assets</t>
  </si>
  <si>
    <t>Increase in share capital</t>
  </si>
  <si>
    <t>Free Cash Flow to Firm (FCFF)</t>
  </si>
  <si>
    <t>(Less) Depreciation &amp; Ammortization</t>
  </si>
  <si>
    <t xml:space="preserve">EBIT </t>
  </si>
  <si>
    <t>Accounts Payabels</t>
  </si>
  <si>
    <t>Share in results of an subsidary</t>
  </si>
  <si>
    <t xml:space="preserve">Purchase of intangible assets </t>
  </si>
  <si>
    <t>Free Cash Flows to the Firm (FCFF) (in millions)</t>
  </si>
  <si>
    <t>Zakat (Tax)</t>
  </si>
  <si>
    <t>B) Non Cash Charges  - CFS (Operating Activity)</t>
  </si>
  <si>
    <t xml:space="preserve">A) Net Income - Profit n (loss) </t>
  </si>
  <si>
    <t>B) Total Non-Cash Charges (NCC)</t>
  </si>
  <si>
    <t xml:space="preserve">Year End </t>
  </si>
  <si>
    <t>Add</t>
  </si>
  <si>
    <t>Free Cash Flows to Equity (FCFE)      (in millions)</t>
  </si>
  <si>
    <t xml:space="preserve">Free Cash Flows to Equity (FCFE)      </t>
  </si>
  <si>
    <t>Net Borrowing - CFS</t>
  </si>
  <si>
    <t>Free Cash Flows to Equity (FCFE)   (in millions)</t>
  </si>
  <si>
    <t>FCFF - Free Cash Flow to Firm</t>
  </si>
  <si>
    <t>What does a Higher or Lower FCFE indicate?</t>
  </si>
  <si>
    <t>Free Cash Flow to Equity (FCFE)</t>
  </si>
  <si>
    <t>C) Capital Expenditure (Capex) - CFS</t>
  </si>
  <si>
    <t>C) Total Capex + Gains / (Loss)</t>
  </si>
  <si>
    <t xml:space="preserve">D) Working Capital (WC) - CFS </t>
  </si>
  <si>
    <t>D) Total Working Capital</t>
  </si>
  <si>
    <t>A + B - C - D</t>
  </si>
  <si>
    <t>(Less)  Finance Cost (Interest)</t>
  </si>
  <si>
    <t>Net Income - (PAT)</t>
  </si>
  <si>
    <t>Earning Before Tax - EBT / PBT</t>
  </si>
  <si>
    <t>Earning Before Int Tax Dep &amp; Ammort -EBITDA</t>
  </si>
  <si>
    <t>Operating Profit / Gross Profit (GP)</t>
  </si>
  <si>
    <t>2.EBITDA</t>
  </si>
  <si>
    <r>
      <t xml:space="preserve">FCFE - Levered Free Cash Flows. Cash Flow AFTER Deduction of Interest &amp; Debt payments.                    </t>
    </r>
    <r>
      <rPr>
        <b/>
        <sz val="9"/>
        <rFont val="Arial"/>
        <family val="2"/>
      </rPr>
      <t xml:space="preserve">Cash Flows available for only Equity Holders (Common/Preferred) . </t>
    </r>
  </si>
  <si>
    <r>
      <t xml:space="preserve">FCFF - Unlevered Free Cash Flows. Cash Flow BEFORE Deduction of Interest &amp; Debt payments.                     </t>
    </r>
    <r>
      <rPr>
        <b/>
        <sz val="9"/>
        <rFont val="Arial"/>
        <family val="2"/>
      </rPr>
      <t xml:space="preserve"> Cash Flows available for Debt &amp; Equity Holders</t>
    </r>
    <r>
      <rPr>
        <sz val="9"/>
        <rFont val="Arial"/>
        <family val="2"/>
      </rPr>
      <t xml:space="preserve"> (Common/Preferred) .                  </t>
    </r>
  </si>
  <si>
    <t xml:space="preserve">Leverage means Interest &amp; Debt </t>
  </si>
  <si>
    <t>FCFE = Net Income + Non Cash Charges - Capex - WCInv + Net Borrowings</t>
  </si>
  <si>
    <t>Cash Flow Available to both Debt &amp; Equity Holders</t>
  </si>
  <si>
    <t>Cash Flow Available to only Equity Holders (Common &amp; Preference Stock As Dividends)</t>
  </si>
  <si>
    <t>A positive FCFF value indicates that the firm has cash remaining after expenses.</t>
  </si>
  <si>
    <t>A negative value indicates that the firm has not generated enough revenue to cover its costs and investment activities.</t>
  </si>
  <si>
    <t>What does a Positive or Negative FCFF indicate?</t>
  </si>
  <si>
    <t>The FCFF calculation is an indicator of a company's operations and its performance. FCFF considers all cash inflows in the form of revenues, all cash outflows in the form of ordinary expenses, and all reinvested cash to grow the business. The money left over after conducting all these operations represents a company's FCFF.</t>
  </si>
  <si>
    <t xml:space="preserve">A) Earnings Before Interest &amp; Tax (EBIT) </t>
  </si>
  <si>
    <t>company. Positive cash flow indicates that a company's liquid assets are increasing, enabling it to</t>
  </si>
  <si>
    <t>CFS Vs FCFF Vs FCFE</t>
  </si>
  <si>
    <t>Cash Flow Statement (CFS)</t>
  </si>
  <si>
    <t>CFS is the net amount of cash and cash equivalents being transferred into and out of a</t>
  </si>
  <si>
    <t>of cash for investment in fixed assets like property, plant, and equipment, and after depreciation</t>
  </si>
  <si>
    <t xml:space="preserve">FCFF is the cash flows a company produces through its operations after subtracting any outlays </t>
  </si>
  <si>
    <t xml:space="preserve">expenses, cash flow taxes, working capital, and interest are accounted for. In other words, free </t>
  </si>
  <si>
    <t>cash flow to the firm is the cash left over after a company has paid its operating expenses and </t>
  </si>
  <si>
    <t>FCFE to determine if dividend payments and stock repurchases are paid for with free cash flow to equity or some other form of financing. Investors want to see a dividend payment and share repurchase that is fully paid by FCFE.</t>
  </si>
  <si>
    <t>If FCFE is less than the dividend payment and the cost to buy back shares, the company is funding with either debt or existing capital or issuing new securities. Existing capital includes retained earnings made in previous periods.</t>
  </si>
  <si>
    <t>This metric is to be used for determination on divident policy and for creditors / analysts to assess if company is window dressing of payment dividends through internal sources or debt financing.</t>
  </si>
  <si>
    <t>Home Index (click here)</t>
  </si>
  <si>
    <t>Cash Flows available for only Equity Holders (Common/Preferred)  as Dividends / Share Buyback.</t>
  </si>
  <si>
    <t xml:space="preserve">FCFE - Levered Free Cash Flows. Cash Flow AFTER Deduction of Interest &amp; Debt payments. </t>
  </si>
  <si>
    <t>settle debts, reinvest in its business, return money to shareholders.</t>
  </si>
  <si>
    <t>capital expenditures to enable to pay debt &amp; equity holders both.</t>
  </si>
  <si>
    <t>This model allows to calculate how much max dividends can be paid to equity / preference shareholders.</t>
  </si>
  <si>
    <t>Exponential Triple Smoothing for Sales Projections: (ETS)</t>
  </si>
  <si>
    <t>This is a statistical technique in excel to predict future sales based on historical performance.</t>
  </si>
  <si>
    <t>FCFF = EBIT * (1- Tax Rate) + Non Cash Charges - Capex - WCInv</t>
  </si>
  <si>
    <t xml:space="preserve">Free Cash Flows to Firm (FCFF)      </t>
  </si>
  <si>
    <t>Free Cash Flows to Firm (FCFF)      (in millions)</t>
  </si>
  <si>
    <r>
      <t>Finance Costs (interest)</t>
    </r>
    <r>
      <rPr>
        <b/>
        <sz val="12"/>
        <color theme="1"/>
        <rFont val="Times New Roman"/>
        <family val="1"/>
      </rPr>
      <t xml:space="preserve"> (To exclude any debt chrg)</t>
    </r>
  </si>
  <si>
    <t xml:space="preserve">     (EBIT = Operating Income)</t>
  </si>
  <si>
    <t>Make Waterfall Chart for both FCFF &amp; FCFE (NY Stern)</t>
  </si>
  <si>
    <r>
      <rPr>
        <b/>
        <sz val="16"/>
        <color rgb="FFFF0000"/>
        <rFont val="Times New Roman"/>
        <family val="1"/>
      </rPr>
      <t>Unlevered</t>
    </r>
    <r>
      <rPr>
        <b/>
        <sz val="14"/>
        <color theme="1"/>
        <rFont val="Times New Roman"/>
        <family val="1"/>
      </rPr>
      <t xml:space="preserve"> Free Cash Flow to Firm (FCFF) </t>
    </r>
  </si>
  <si>
    <r>
      <rPr>
        <b/>
        <sz val="18"/>
        <color rgb="FFFF0000"/>
        <rFont val="Times New Roman"/>
        <family val="1"/>
      </rPr>
      <t>Levered</t>
    </r>
    <r>
      <rPr>
        <b/>
        <sz val="14"/>
        <color theme="1"/>
        <rFont val="Times New Roman"/>
        <family val="1"/>
      </rPr>
      <t xml:space="preserve"> Free Cash Flow to Equity (FCFE)</t>
    </r>
  </si>
  <si>
    <t>FCFE - Free Cash Flow to Equity</t>
  </si>
  <si>
    <t>UnLevered means Debt Free</t>
  </si>
  <si>
    <t>Beta</t>
  </si>
  <si>
    <t xml:space="preserve">Beta is Relationship Measurement of a investment (stock or company) with Overall Market </t>
  </si>
  <si>
    <t xml:space="preserve">Systematic Risk - Macro Risk = Outside market conditions risk </t>
  </si>
  <si>
    <t>Un-systematic Risk - Micro Risk = Inside company risk</t>
  </si>
  <si>
    <t xml:space="preserve">Market Beta will always be 1 </t>
  </si>
  <si>
    <t xml:space="preserve">IRR - Internal Rate of Return </t>
  </si>
  <si>
    <t>PI - Profitability Index</t>
  </si>
  <si>
    <t>PBP - Payback Period</t>
  </si>
  <si>
    <t xml:space="preserve">Ra = Rf + B (Rm - Rf) </t>
  </si>
  <si>
    <t xml:space="preserve">B = Beta , Can find out from various websites or can calculate </t>
  </si>
  <si>
    <t xml:space="preserve">Formula </t>
  </si>
  <si>
    <t xml:space="preserve"># = Wd x Rd (1-tax) + Wp x Rp + We x Re </t>
  </si>
  <si>
    <t xml:space="preserve">Long Form Formula </t>
  </si>
  <si>
    <t xml:space="preserve"> (Current Debt %)</t>
  </si>
  <si>
    <t>Debt = Before Tax as it is tax deductible</t>
  </si>
  <si>
    <t>NPV - Net Present Value</t>
  </si>
  <si>
    <r>
      <t xml:space="preserve"># </t>
    </r>
    <r>
      <rPr>
        <u/>
        <sz val="12"/>
        <color theme="1"/>
        <rFont val="Arial Narrow"/>
        <family val="2"/>
      </rPr>
      <t xml:space="preserve">Total Debt </t>
    </r>
    <r>
      <rPr>
        <sz val="12"/>
        <color theme="1"/>
        <rFont val="Arial Narrow"/>
        <family val="2"/>
      </rPr>
      <t xml:space="preserve">       x Cost of Debt  + </t>
    </r>
    <r>
      <rPr>
        <u/>
        <sz val="12"/>
        <color theme="1"/>
        <rFont val="Arial Narrow"/>
        <family val="2"/>
      </rPr>
      <t xml:space="preserve">Total Preferred Capital </t>
    </r>
    <r>
      <rPr>
        <sz val="12"/>
        <color theme="1"/>
        <rFont val="Arial Narrow"/>
        <family val="2"/>
      </rPr>
      <t xml:space="preserve">   x Cost of Pref Capital + </t>
    </r>
    <r>
      <rPr>
        <u/>
        <sz val="12"/>
        <color theme="1"/>
        <rFont val="Arial Narrow"/>
        <family val="2"/>
      </rPr>
      <t xml:space="preserve">Total Equity </t>
    </r>
    <r>
      <rPr>
        <sz val="12"/>
        <color theme="1"/>
        <rFont val="Arial Narrow"/>
        <family val="2"/>
      </rPr>
      <t xml:space="preserve">    x Cost of Equity</t>
    </r>
  </si>
  <si>
    <t>Why we need to compute WACC?</t>
  </si>
  <si>
    <t>What is the cost on the capital that we acquire for the company</t>
  </si>
  <si>
    <t xml:space="preserve">achieved by capital budgeting techniques. </t>
  </si>
  <si>
    <t>(PBP is considered NOT using the DCF)</t>
  </si>
  <si>
    <t>It is used in Co Valuations / Capital Budgeting / others</t>
  </si>
  <si>
    <t>Ra = Estimate Return on Asset (investment) ????</t>
  </si>
  <si>
    <t>Total Capital</t>
  </si>
  <si>
    <t xml:space="preserve">A) </t>
  </si>
  <si>
    <t>Source:</t>
  </si>
  <si>
    <t xml:space="preserve">https://finance.yahoo.com/quote/1202.SR?p=1202.SR </t>
  </si>
  <si>
    <t>B)</t>
  </si>
  <si>
    <t xml:space="preserve">Helps determine what % return one can expect on an equity investment </t>
  </si>
  <si>
    <t>Rf = Risk Free Return (Govt Bonds) %</t>
  </si>
  <si>
    <t>Rm = Estimate Market Risk or Expected Risk Premium (country) ERP Aswat Damodaran %</t>
  </si>
  <si>
    <t xml:space="preserve">https://www.saudiexchange.sa/wps/portal/saudiexchange/ourmarkets/sukuk-market-watch </t>
  </si>
  <si>
    <t xml:space="preserve">https://ssrn.com/abstract=4509578   </t>
  </si>
  <si>
    <t>C)</t>
  </si>
  <si>
    <t>(Weighted Average Cost of Capital - Debt / Equity)</t>
  </si>
  <si>
    <t>(No Preference Capital at Waraq)</t>
  </si>
  <si>
    <t>Cost of Debt (Pre Tax)</t>
  </si>
  <si>
    <t xml:space="preserve"> CAPM (Capital Asset Pricing Model)</t>
  </si>
  <si>
    <t>Notes:</t>
  </si>
  <si>
    <t>Waraq All Bank Average charges @ 8.5%</t>
  </si>
  <si>
    <t>EXIM Average charges @ 5.4%</t>
  </si>
  <si>
    <t>Therefore, Avg debt service charges @ 6.95%</t>
  </si>
  <si>
    <t xml:space="preserve">Total Equity </t>
  </si>
  <si>
    <t>Total Debt     x  % Avg Cost of debt</t>
  </si>
  <si>
    <t xml:space="preserve">Equity = After Tax figures </t>
  </si>
  <si>
    <t>Example</t>
  </si>
  <si>
    <t xml:space="preserve"> If WACC = 15%, then for every Riyal 100 that Waraq take (debt/equity) to run the company it has to earn</t>
  </si>
  <si>
    <r>
      <t xml:space="preserve">of the equity invested.    </t>
    </r>
    <r>
      <rPr>
        <b/>
        <sz val="12"/>
        <color theme="1"/>
        <rFont val="Arial Narrow"/>
        <family val="2"/>
      </rPr>
      <t>OR</t>
    </r>
  </si>
  <si>
    <t>atleast 100 + 15 = Riyal 115 minimum . It also means that for profits after tax we need to make more than 15% minimum</t>
  </si>
  <si>
    <t xml:space="preserve">Any project that we invest, we need to make sure that it gives us a return of more than WACC 15 %. &amp; this can be </t>
  </si>
  <si>
    <t>D)</t>
  </si>
  <si>
    <t xml:space="preserve">Cost of Equity </t>
  </si>
  <si>
    <t xml:space="preserve">MEPCO BETA </t>
  </si>
  <si>
    <t>Un-Lever &amp; Re-Lever of MEPCO BETA</t>
  </si>
  <si>
    <t>Note: To confirm with Anas on 25 Sep in details</t>
  </si>
  <si>
    <t>Capital Budgeting for ZLD</t>
  </si>
  <si>
    <t>It is used in capital budgeting technique as a opportunity cost also known as Discounted Cash Flow</t>
  </si>
  <si>
    <t xml:space="preserve">Beta = 1 Means investment will move at same % as the market moves. </t>
  </si>
  <si>
    <t>Beta &gt; 1 Means investment will move at a higher % than the market. More volatile stocks. Good for stocks during Bull Run</t>
  </si>
  <si>
    <t>Beta = 0 Means investment will be neutral and has no cor-relation with market movement</t>
  </si>
  <si>
    <t>Beta &lt; 1 Means investment will move at a lower % than the market. Less volatile stocks</t>
  </si>
  <si>
    <t>Beta &lt;0 or -1 Means investment is INVERSE proportional to market risk. In general if market go up the invetment go down &amp; vice versa</t>
  </si>
  <si>
    <t>Note: We need to un-lever &amp; then again re-lever Mepco Beta for making it compatible as Waraq Beta</t>
  </si>
  <si>
    <t>Retained Earnings</t>
  </si>
  <si>
    <t>I have not used RE in the Cost of debt calculations. As I believe that it should</t>
  </si>
  <si>
    <t>be equal to both waraq &amp; mepco. But as waraq can convert RE to equity</t>
  </si>
  <si>
    <t>capital, Mepco cannot do it as its listed. So this is another way of calculation.</t>
  </si>
  <si>
    <t>ZLD - Project Capital Budgeting - NPV, IRR, Payback period, WACC</t>
  </si>
  <si>
    <t>A) Calculation of NPV - Net Present Value  AND IRR</t>
  </si>
  <si>
    <t xml:space="preserve"> Using formula of POWER</t>
  </si>
  <si>
    <t>Without Formula of POWER</t>
  </si>
  <si>
    <t>6.36m fin chrg on 56.56m for 10 years</t>
  </si>
  <si>
    <t>Int % (oppor cost)</t>
  </si>
  <si>
    <t>Convert No</t>
  </si>
  <si>
    <t>(1+k)</t>
  </si>
  <si>
    <t>K (Discount rate)</t>
  </si>
  <si>
    <t>K%</t>
  </si>
  <si>
    <t>1+K</t>
  </si>
  <si>
    <t>Cash Inflow</t>
  </si>
  <si>
    <t>Cash outflow</t>
  </si>
  <si>
    <t>NPV</t>
  </si>
  <si>
    <t xml:space="preserve">Proj Year </t>
  </si>
  <si>
    <t>10 years</t>
  </si>
  <si>
    <t>NPV =</t>
  </si>
  <si>
    <t>FV (cash inflow)</t>
  </si>
  <si>
    <t>(1+k) ^n</t>
  </si>
  <si>
    <t>Project Capex</t>
  </si>
  <si>
    <t>Use Variable discount rate.</t>
  </si>
  <si>
    <t>Year (n)</t>
  </si>
  <si>
    <t>FV Cash Inflow</t>
  </si>
  <si>
    <t>(1+k)^n</t>
  </si>
  <si>
    <t>FV</t>
  </si>
  <si>
    <t>PV</t>
  </si>
  <si>
    <t>(1+K)^1</t>
  </si>
  <si>
    <t>(1+K)^2</t>
  </si>
  <si>
    <t>(1+K)^3</t>
  </si>
  <si>
    <t>(1+K)^4</t>
  </si>
  <si>
    <t>(1+K)^5</t>
  </si>
  <si>
    <t>(1+K)^6</t>
  </si>
  <si>
    <t>(1+K)^7</t>
  </si>
  <si>
    <t>(1+K)^8</t>
  </si>
  <si>
    <t>(1+K)^9</t>
  </si>
  <si>
    <t>(1+K)^10</t>
  </si>
  <si>
    <t>Total</t>
  </si>
  <si>
    <t>Inflow - Outflow</t>
  </si>
  <si>
    <t xml:space="preserve">NPV = </t>
  </si>
  <si>
    <t>Note - NPV</t>
  </si>
  <si>
    <t>* Sukuk 10 year yield rate @ 4.4% (but have not taken this) ?</t>
  </si>
  <si>
    <t>What is the opportunity cost assumed by Abubakar? You can vary the cells in yellow</t>
  </si>
  <si>
    <t>My  concern is that the FV inflow cannot be same amount each year. Therefore, the NPV will change</t>
  </si>
  <si>
    <t>Calculations for FV inflows need to be checked</t>
  </si>
  <si>
    <t>Equation: Conversally proportional</t>
  </si>
  <si>
    <t>NPV will increase if discount rates decrease and vice  versa</t>
  </si>
  <si>
    <t>Internal Rate of Return IRR</t>
  </si>
  <si>
    <t>The discount rate (ie opportunity rate) at which the NPV becomes ZERO is the IRR of the project</t>
  </si>
  <si>
    <t>Therefore, if we vary the yellow cell the rate wherein the NPV is Zero will be our IRR for the project</t>
  </si>
  <si>
    <t xml:space="preserve">Unable to match the % wherein the NPV = Zero. Maybe formula error or Base Zero year not considered </t>
  </si>
  <si>
    <t>Payback Period (Discounted)</t>
  </si>
  <si>
    <t xml:space="preserve">2 years 7 months 6 days </t>
  </si>
  <si>
    <t xml:space="preserve">Time taken for the project to generate money to pay itself ie period in no of years to recover the </t>
  </si>
  <si>
    <t>initial investment total</t>
  </si>
  <si>
    <t>Initial Invest</t>
  </si>
  <si>
    <t>NPV 1</t>
  </si>
  <si>
    <t>1st Year</t>
  </si>
  <si>
    <t>NPV 2</t>
  </si>
  <si>
    <t xml:space="preserve">2nd Year </t>
  </si>
  <si>
    <t>NPV 3</t>
  </si>
  <si>
    <t>3rd Year (7 month 6 days)</t>
  </si>
  <si>
    <t>WACC - Cost of Debt / Equity</t>
  </si>
  <si>
    <t xml:space="preserve">not have the historical or current FS of waraq. </t>
  </si>
  <si>
    <t>In most cases, a lower WACC indicates a healthy business that’s able to attract investors at a lower cost. By contrast, a</t>
  </si>
  <si>
    <t>higher WACC usually coincides with businesses that are seen as riskier and need to compensate investors with higher</t>
  </si>
  <si>
    <t>returns. </t>
  </si>
  <si>
    <t xml:space="preserve">Interest Coverage </t>
  </si>
  <si>
    <t>16)</t>
  </si>
  <si>
    <t xml:space="preserve">Operating Cash Flow to Debt </t>
  </si>
  <si>
    <t>Operating Cash Flow / Total Debt</t>
  </si>
  <si>
    <t>Operating Cash Flow Vs Total Debt</t>
  </si>
  <si>
    <t>Complete</t>
  </si>
  <si>
    <r>
      <rPr>
        <b/>
        <sz val="14"/>
        <rFont val="Arial Narrow"/>
        <family val="2"/>
      </rPr>
      <t>WACC Complete</t>
    </r>
    <r>
      <rPr>
        <b/>
        <sz val="14"/>
        <color rgb="FFFF0000"/>
        <rFont val="Arial Narrow"/>
        <family val="2"/>
      </rPr>
      <t>,  Balance TV/EV</t>
    </r>
  </si>
  <si>
    <t>Below to be Re-worked with above WACC</t>
  </si>
  <si>
    <t xml:space="preserve">Materials </t>
  </si>
  <si>
    <t>Employees Cost</t>
  </si>
  <si>
    <t>Utilities &amp; Spares Parts</t>
  </si>
  <si>
    <t>Depreciation on PPE (Direct Prodn PPE)</t>
  </si>
  <si>
    <t>Insurance</t>
  </si>
  <si>
    <t>Inventory Impairment / Maintenance</t>
  </si>
  <si>
    <t xml:space="preserve">Rent / Short term lease </t>
  </si>
  <si>
    <t>Consumables</t>
  </si>
  <si>
    <t>Others</t>
  </si>
  <si>
    <t xml:space="preserve">Employees related cost </t>
  </si>
  <si>
    <t xml:space="preserve">Depreciation  </t>
  </si>
  <si>
    <t>Ammortization</t>
  </si>
  <si>
    <t xml:space="preserve">Rent </t>
  </si>
  <si>
    <t>Legal &amp; Professional Fees</t>
  </si>
  <si>
    <t>Other Expenses</t>
  </si>
  <si>
    <t>Freight</t>
  </si>
  <si>
    <t>Depreciation</t>
  </si>
  <si>
    <t>Allowance for Doubtful AR</t>
  </si>
  <si>
    <t>(Loss) on disposal of Property &amp; Equipment</t>
  </si>
  <si>
    <t xml:space="preserve">Depreciation reversal </t>
  </si>
  <si>
    <t>Scrap Sales</t>
  </si>
  <si>
    <t>Financial Charges  - Bank Loans</t>
  </si>
  <si>
    <t>Financial Charges – LTL</t>
  </si>
  <si>
    <t>Financial  Charges -  Lease Assets</t>
  </si>
  <si>
    <t>S I D F  Fees</t>
  </si>
  <si>
    <t>Amortization - Pre Operating Expenses</t>
  </si>
  <si>
    <t>Net Interest</t>
  </si>
  <si>
    <t>Land</t>
  </si>
  <si>
    <t>Buildings &amp; Leasehold Improvements</t>
  </si>
  <si>
    <t>Plant &amp; Machinery</t>
  </si>
  <si>
    <t>Furniture, Fixtures &amp; Office Equipment</t>
  </si>
  <si>
    <t>Vehicles</t>
  </si>
  <si>
    <t>Capital Work in Progress (CIP)</t>
  </si>
  <si>
    <t>Projects in Progress</t>
  </si>
  <si>
    <t>Lease Hold Improvements</t>
  </si>
  <si>
    <t>Raw Materials</t>
  </si>
  <si>
    <t>Spares parts &amp; supplies (Not for sale)</t>
  </si>
  <si>
    <t>Finished Goods (FG)</t>
  </si>
  <si>
    <t>Work in Progress (WIP)</t>
  </si>
  <si>
    <t>Materials for Re-sale</t>
  </si>
  <si>
    <t>Chemicals</t>
  </si>
  <si>
    <t>Less: Allowance for inventory (Slow moving)</t>
  </si>
  <si>
    <t>Receivable from Related Parties (Gulf Cartons)</t>
  </si>
  <si>
    <t>Less (Allowance for RDD)</t>
  </si>
  <si>
    <t>Pre-Paid Expenses</t>
  </si>
  <si>
    <t>Advance to suppliers</t>
  </si>
  <si>
    <t xml:space="preserve">Employee Receivables </t>
  </si>
  <si>
    <t>Other Receivables</t>
  </si>
  <si>
    <t>Cash in Hand</t>
  </si>
  <si>
    <t>Cash at Bank</t>
  </si>
  <si>
    <t>Commercial Banks</t>
  </si>
  <si>
    <t>SIDF</t>
  </si>
  <si>
    <t xml:space="preserve">(Less) Service Fees </t>
  </si>
  <si>
    <t>Employee Benefits Paid</t>
  </si>
  <si>
    <t>Pay Due to Eastern Gas Co</t>
  </si>
  <si>
    <t>Pay Due to Gulf Carton Factory</t>
  </si>
  <si>
    <t>Pay Due Others</t>
  </si>
  <si>
    <t>Due to Related Parties</t>
  </si>
  <si>
    <t>Advance from customers</t>
  </si>
  <si>
    <t xml:space="preserve">Accrued employees cost </t>
  </si>
  <si>
    <t>Accrues Expenses</t>
  </si>
  <si>
    <t>Accrued Interest</t>
  </si>
  <si>
    <t>1) FS prepared from TB and approx classified as per previous quarters of audit FS</t>
  </si>
  <si>
    <t>2) Working notes will give the Non Consolidated figures of all totals.</t>
  </si>
  <si>
    <t xml:space="preserve">3) Footnotes details are never given by auditor for qtr reviews so there will be </t>
  </si>
  <si>
    <t xml:space="preserve">    slight difference in figures but the totals will be correct.</t>
  </si>
  <si>
    <t>4) PnL &amp; BS details with JV are in the other worksheets</t>
  </si>
  <si>
    <t>5) Mepco as said will be add as and when uploaded on their website</t>
  </si>
  <si>
    <t>6) Please use the + grouping function on LHS &amp; top to get a summary view.</t>
  </si>
  <si>
    <t>3.FS with Footnotes adjusted (Detailed)</t>
  </si>
  <si>
    <t>4.Important Note</t>
  </si>
  <si>
    <t>5.Cash Flow Analysis (CFS)</t>
  </si>
  <si>
    <t>6.Free Cash Flow to Firm (FCFF) (Unlevered)</t>
  </si>
  <si>
    <t>7.Free Cash Flow to Equity (FCFE) (Levered)</t>
  </si>
  <si>
    <t xml:space="preserve">8.WACC / Terminal Value / Enterprise Value </t>
  </si>
  <si>
    <t>9.Financial Ratios</t>
  </si>
  <si>
    <t>10.Dashboard</t>
  </si>
  <si>
    <t>11.Resource</t>
  </si>
  <si>
    <t>13.Flash Report (2 weekly)</t>
  </si>
  <si>
    <t>14.Projections</t>
  </si>
  <si>
    <t>DSO / DIO / DPO</t>
  </si>
  <si>
    <t>Working Capital as a % of Sales</t>
  </si>
  <si>
    <t>DSO + DIO - DPO</t>
  </si>
  <si>
    <t>% accounts overdue for collection</t>
  </si>
  <si>
    <t>average terms per client/unit/region</t>
  </si>
  <si>
    <t>% clients with payment term exceptions</t>
  </si>
  <si>
    <t>Invoicing number of delay days vs. standard</t>
  </si>
  <si>
    <t>% accounts overdue for payment</t>
  </si>
  <si>
    <t>% suppliers with payment term exceptions</t>
  </si>
  <si>
    <t>% of accounts paid early</t>
  </si>
  <si>
    <t>Capex as % of revenue over time</t>
  </si>
  <si>
    <t>COGS total as % of revenue over time</t>
  </si>
  <si>
    <t>Quick Ratio (for manufacturers)</t>
  </si>
  <si>
    <t>Total Liabilities to Net Worth</t>
  </si>
  <si>
    <t>Funded Debt to EBITDA</t>
  </si>
  <si>
    <t>Fixed Charge Coverage Ratio</t>
  </si>
  <si>
    <t>EBITDA/Interest (if no term debt)</t>
  </si>
  <si>
    <t>Current and Rolling 12 month EBITDA</t>
  </si>
  <si>
    <t>Management Adjusted EBITDA (if applicable)</t>
  </si>
  <si>
    <t>Operating Cash Flow</t>
  </si>
  <si>
    <t>Investing Cash Flow</t>
  </si>
  <si>
    <t>Financing Cash Flow</t>
  </si>
  <si>
    <t>Cash Flows</t>
  </si>
  <si>
    <t>COGS</t>
  </si>
  <si>
    <t>OPEX</t>
  </si>
  <si>
    <t>EBITDA</t>
  </si>
  <si>
    <t>Debt Servicing</t>
  </si>
  <si>
    <t>Accounts Payable</t>
  </si>
  <si>
    <t>Inventory</t>
  </si>
  <si>
    <t>Forecast vs. Actual</t>
  </si>
  <si>
    <t>KPIs</t>
  </si>
  <si>
    <t>Accounts Receivable</t>
  </si>
  <si>
    <t>Overdue</t>
  </si>
  <si>
    <t>Obsolete</t>
  </si>
  <si>
    <t xml:space="preserve">At Risk </t>
  </si>
  <si>
    <t>Free Cash Flow to Firm FCFF</t>
  </si>
  <si>
    <t>Terms</t>
  </si>
  <si>
    <t>Invoicing</t>
  </si>
  <si>
    <t>Processing</t>
  </si>
  <si>
    <t>Capex</t>
  </si>
  <si>
    <t>Liquidty</t>
  </si>
  <si>
    <t xml:space="preserve">Leverage </t>
  </si>
  <si>
    <t>Actual Vs Benchmark</t>
  </si>
  <si>
    <t>Actual Vs Forecast</t>
  </si>
  <si>
    <t>Working Capital</t>
  </si>
  <si>
    <t>Expenditures</t>
  </si>
  <si>
    <t xml:space="preserve">Financial Health </t>
  </si>
  <si>
    <t>Flash Report</t>
  </si>
  <si>
    <t>Productivity</t>
  </si>
  <si>
    <t>Profitability</t>
  </si>
  <si>
    <t>????</t>
  </si>
  <si>
    <t xml:space="preserve">OPEX categories as % of revenue over time </t>
  </si>
  <si>
    <t>(SG&amp;A, R&amp;D, Sales, Marketing)</t>
  </si>
  <si>
    <t>Forecast Vs Actual Vs Benchmark</t>
  </si>
  <si>
    <t>SAR total balance of overdue accounts</t>
  </si>
  <si>
    <t>SAR total value of payments made early</t>
  </si>
  <si>
    <t>SAR inventory balances by type (raw/WIP/FG/transit)</t>
  </si>
  <si>
    <t>SAR inventory balances written off</t>
  </si>
  <si>
    <t>SAR inventory balances with ptential to be written off</t>
  </si>
  <si>
    <t>SAR total spend vs. plan</t>
  </si>
  <si>
    <t>Based on Budget</t>
  </si>
  <si>
    <t>Profit Margin</t>
  </si>
  <si>
    <t>Effective Tax Rate</t>
  </si>
  <si>
    <t>Return on Assets</t>
  </si>
  <si>
    <t>Return on Equity</t>
  </si>
  <si>
    <t>Du Point</t>
  </si>
  <si>
    <t>Return on Capital Employed</t>
  </si>
  <si>
    <t>Fixed Assets T/o</t>
  </si>
  <si>
    <t>Sales Rev / Employee</t>
  </si>
  <si>
    <t>Operating Cycle</t>
  </si>
  <si>
    <t>CCC</t>
  </si>
  <si>
    <t>A/R T/o</t>
  </si>
  <si>
    <t>A/P T/o</t>
  </si>
  <si>
    <t>Investment T/o</t>
  </si>
  <si>
    <t>Liquidity / Cash Flows</t>
  </si>
  <si>
    <t>Operating CF / Sales Ratio</t>
  </si>
  <si>
    <t>FCF / Operating Cash Flow</t>
  </si>
  <si>
    <t>Cash Flow Coverage Ratio</t>
  </si>
  <si>
    <t>Capitalization Ratio</t>
  </si>
  <si>
    <t>Cash Flow to Debt Ratio</t>
  </si>
  <si>
    <t>Balance</t>
  </si>
  <si>
    <t xml:space="preserve">  Total Capital                                 Total Capital                                                     Total Capital</t>
  </si>
  <si>
    <t>Profitability Index - PI</t>
  </si>
  <si>
    <t>Since PI &gt; 1, Project is feasible.</t>
  </si>
  <si>
    <t>Seggregation of costs as per lead sheet / Audit FS</t>
  </si>
  <si>
    <t>Penalty</t>
  </si>
  <si>
    <t>Sundry Income / Service Income</t>
  </si>
  <si>
    <t>Gain on sale of PPE/ Rentals / Exchange Currency</t>
  </si>
  <si>
    <t>Reversal of expected credit losses / Loss on lease termination</t>
  </si>
  <si>
    <t>Insurance Claim received / receivable</t>
  </si>
  <si>
    <t xml:space="preserve">Short term deposit </t>
  </si>
  <si>
    <t>(Less) Current Portion of Term Loan</t>
  </si>
  <si>
    <t>Always FCFF &gt; FCFE</t>
  </si>
  <si>
    <t>Changes in Working Capital</t>
  </si>
  <si>
    <t>Funds Flow Statement</t>
  </si>
  <si>
    <t>(Difference in Current Assets - Current Liabilities)</t>
  </si>
  <si>
    <t>Statement of Changes in Working Capital</t>
  </si>
  <si>
    <t>Increase +</t>
  </si>
  <si>
    <t>Decrease (-)</t>
  </si>
  <si>
    <t>Current Assets</t>
  </si>
  <si>
    <t>Prepayments and other current assets</t>
  </si>
  <si>
    <t>Cash &amp; cash equivalent</t>
  </si>
  <si>
    <t>A)</t>
  </si>
  <si>
    <t>I)</t>
  </si>
  <si>
    <t>Current Liabilties</t>
  </si>
  <si>
    <t>Accruals and other current liabilities</t>
  </si>
  <si>
    <t>Short term loans</t>
  </si>
  <si>
    <t>Zakat Provision</t>
  </si>
  <si>
    <t>II)</t>
  </si>
  <si>
    <t>Total Current Assets (I)</t>
  </si>
  <si>
    <t>Total Current Liabilities (II)</t>
  </si>
  <si>
    <t>Conclusion:</t>
  </si>
  <si>
    <t xml:space="preserve"># This shows we are investing in long term investments projects without due consideration on our funds </t>
  </si>
  <si>
    <t xml:space="preserve"># This leads to heavy short term borrowing at rates which are higher than our loss rate and adds </t>
  </si>
  <si>
    <t>up to our cost of product.</t>
  </si>
  <si>
    <t>eventually at year end lead to nil balance in RE and consequently put waraq in a solvency position.</t>
  </si>
  <si>
    <t>Some measurements which can be to minimize above is:</t>
  </si>
  <si>
    <t xml:space="preserve"># Rationalization of recruitment policy </t>
  </si>
  <si>
    <t xml:space="preserve"># Rationalization of consultant policy </t>
  </si>
  <si>
    <t xml:space="preserve"># Tight control on production planning to minimize and align with customer POs to reduce holding </t>
  </si>
  <si>
    <t>stocks</t>
  </si>
  <si>
    <t># Retirement of high cost employees or non-performing employees</t>
  </si>
  <si>
    <t>Addition to investment properties</t>
  </si>
  <si>
    <t>Schedule of Changes in Working Capital</t>
  </si>
  <si>
    <t>Working Capital (I - II)</t>
  </si>
  <si>
    <t>Amount</t>
  </si>
  <si>
    <t>Sources of Funds (+)</t>
  </si>
  <si>
    <t>Particulars</t>
  </si>
  <si>
    <t>Application of Funds  (-)</t>
  </si>
  <si>
    <t>To Funds Lost in Operations</t>
  </si>
  <si>
    <t xml:space="preserve">A funds flow statement explains the changes in a company’s working capital. It considers the inflows </t>
  </si>
  <si>
    <t xml:space="preserve">and outflow of funds (source of funds and application of funds) for a particular period. The statement </t>
  </si>
  <si>
    <t>helps in analysing the changes in a company’s financial position between two balance sheet periods.</t>
  </si>
  <si>
    <t xml:space="preserve">The statement helps in determining how the funds are being used. As a result, analysts can assess the </t>
  </si>
  <si>
    <t>company’s fund flow in the future.</t>
  </si>
  <si>
    <t># Manpower audit to have just optimal employee strength per department</t>
  </si>
  <si>
    <t xml:space="preserve"># Hold on major capex projects untill we have WC surplus. </t>
  </si>
  <si>
    <t>position. AR has to be much more than currently being done.</t>
  </si>
  <si>
    <t># Very close Treasury management in alignment with cash flows on a daily/weekly basis.</t>
  </si>
  <si>
    <t>Therefore, in conclusion simply put we are bleeding cash, out without cash generation and that will</t>
  </si>
  <si>
    <t># Streamline of AR under 60 days and acquisition of new markets, clients with better margins.</t>
  </si>
  <si>
    <t>+</t>
  </si>
  <si>
    <t>-</t>
  </si>
  <si>
    <t xml:space="preserve">What are FCFE &amp; FCFF and how are they related? </t>
  </si>
  <si>
    <t>Can I derive one from the other?</t>
  </si>
  <si>
    <t>we resort to using a proxy for dividend.</t>
  </si>
  <si>
    <t xml:space="preserve">FCFE </t>
  </si>
  <si>
    <t>FCFE  is basicall the capacity of the company to pay dividends.</t>
  </si>
  <si>
    <t>Formula:</t>
  </si>
  <si>
    <t>Net Profit + Depreciation - Change in NWC - Capex + Change in Debt</t>
  </si>
  <si>
    <t>EBIT*(1-tax)+Depreciaion-Changes in NWC-Capex</t>
  </si>
  <si>
    <t>Note that no change in debt is taken into account since we are valuing the overall cash flow to firm holders.</t>
  </si>
  <si>
    <t>Cash movements from Debt to Equity Holders of Vice Versa remain within the overall firm (which includes</t>
  </si>
  <si>
    <t>debt and equity)</t>
  </si>
  <si>
    <t>Can I derive one from the other ?</t>
  </si>
  <si>
    <t>Example:</t>
  </si>
  <si>
    <t>Depreciation = 20m</t>
  </si>
  <si>
    <t>EBIT = 180m</t>
  </si>
  <si>
    <t>Interest = 40m</t>
  </si>
  <si>
    <t>Change in NWC = 30m</t>
  </si>
  <si>
    <t>Change in Debt = 50m</t>
  </si>
  <si>
    <t>Capex = 50m</t>
  </si>
  <si>
    <t>Tax Rate = 25%</t>
  </si>
  <si>
    <t>Net Profit = 105m</t>
  </si>
  <si>
    <t>EBIT x (1-5) = 135m</t>
  </si>
  <si>
    <t>FCFE = 195+20-30-50+50 = 95m</t>
  </si>
  <si>
    <t>FCFF = 135+20-30-50=75m</t>
  </si>
  <si>
    <t xml:space="preserve">FCFE + Interest (1-t) -Change in Debt = FCFF </t>
  </si>
  <si>
    <t>95+30-50 = 75m</t>
  </si>
  <si>
    <t>Net Profit</t>
  </si>
  <si>
    <t>Depreciation / Amortization</t>
  </si>
  <si>
    <t>Change in NWC</t>
  </si>
  <si>
    <t>Capital Expenditure</t>
  </si>
  <si>
    <t xml:space="preserve">Change in Debt </t>
  </si>
  <si>
    <t>FCFF</t>
  </si>
  <si>
    <t>EBIT x (1-tax)</t>
  </si>
  <si>
    <t>Changes in NWC</t>
  </si>
  <si>
    <t>Interest x (1-t)</t>
  </si>
  <si>
    <t>Changes in Debt</t>
  </si>
  <si>
    <t>.= FCFF</t>
  </si>
  <si>
    <t>Sample Data</t>
  </si>
  <si>
    <t>EBITDA = 200m</t>
  </si>
  <si>
    <t>EBT = 140m</t>
  </si>
  <si>
    <t>Tax at 25% = 140</t>
  </si>
  <si>
    <t>NP = 105</t>
  </si>
  <si>
    <t>=</t>
  </si>
  <si>
    <t>identifying change in debt each year, we can use FCFF</t>
  </si>
  <si>
    <t xml:space="preserve">FCFF is used when firms have higher debt or when there is a significant effort attahced to </t>
  </si>
  <si>
    <t xml:space="preserve">Since dividend discount model does not work well in emerging markets &amp; high growth cos, </t>
  </si>
  <si>
    <t>Free Cash Flow to Equity. (FCFE)</t>
  </si>
  <si>
    <t>2024 YEAR INCOME STATEMENT (In Thousands)</t>
  </si>
  <si>
    <t>Decrease in Term Loans</t>
  </si>
  <si>
    <t>Net decrease (deficit) of Working Capital</t>
  </si>
  <si>
    <t>6 months</t>
  </si>
  <si>
    <t>2024 (6m)</t>
  </si>
  <si>
    <t>2024 (6m) ASSET TURNOVER RATIO</t>
  </si>
  <si>
    <t>2024 (6m) RETURN ON EQUITY</t>
  </si>
  <si>
    <t>2024 (6m) RETURN ON ASSETS</t>
  </si>
  <si>
    <t>(6 Months) (Jan - June 24)</t>
  </si>
  <si>
    <t>Finance Analysis 2017- 2024 (7.6 years)</t>
  </si>
  <si>
    <t>7.6 years historical analysis &amp; projections</t>
  </si>
  <si>
    <t>30 June 2024 FS</t>
  </si>
  <si>
    <t>Total Debt as on 30 June 2024</t>
  </si>
  <si>
    <t>Waraq</t>
  </si>
  <si>
    <t>ARC</t>
  </si>
  <si>
    <t>TOM</t>
  </si>
  <si>
    <t>Eimination</t>
  </si>
  <si>
    <t>HRDF Support</t>
  </si>
  <si>
    <t>in 2024 for 6 months as on 30 June 24.</t>
  </si>
  <si>
    <t>(This is like CFS Invst / Fin activities)</t>
  </si>
  <si>
    <t>Funds from Operations (Adjusted Profit &amp; Loss A/c)</t>
  </si>
  <si>
    <t>(Bal Figure)</t>
  </si>
  <si>
    <t>Funds from Operations (+)</t>
  </si>
  <si>
    <t>Funds lost in Operations (-)</t>
  </si>
  <si>
    <t>Decrease in Working Capital (+)</t>
  </si>
  <si>
    <t>Increase in Working Capital (-)</t>
  </si>
  <si>
    <t>By Funds from Operations</t>
  </si>
  <si>
    <t>(Only CA  &amp; CL taken here)</t>
  </si>
  <si>
    <t>To Intangible Assets (Decrease Deprcn)</t>
  </si>
  <si>
    <t>To Decrease in Capital A/c (Loss)</t>
  </si>
  <si>
    <t>To Employee Deemed Benefit (Incr)</t>
  </si>
  <si>
    <t>To Bal C/d of PL 2024 (Closing Balance)</t>
  </si>
  <si>
    <t>By Bal B/d pf PL 2023(Opening Balance)</t>
  </si>
  <si>
    <t>(Only Non CA &amp; Non CL taken here)</t>
  </si>
  <si>
    <t>Not Balance</t>
  </si>
  <si>
    <t>Decrease in Investment Properties</t>
  </si>
  <si>
    <t>Increase in Right of Use Assets</t>
  </si>
  <si>
    <t>Increase in Lease Hold Improvements</t>
  </si>
  <si>
    <t>Increase in Investment of Associate</t>
  </si>
  <si>
    <t>(Reduction in Retained Earnings)</t>
  </si>
  <si>
    <t>Increase in Lease Liability</t>
  </si>
  <si>
    <t>To Depreciation (Decrease in PPE)</t>
  </si>
  <si>
    <t>By Funds Generated from Operations</t>
  </si>
  <si>
    <t>sale of vehicles</t>
  </si>
  <si>
    <t>invest property</t>
  </si>
  <si>
    <t>invst of assoc</t>
  </si>
  <si>
    <t>loans paid</t>
  </si>
  <si>
    <t>employee deem benefits</t>
  </si>
  <si>
    <t>lease liability</t>
  </si>
  <si>
    <t>deprcn of PPE</t>
  </si>
  <si>
    <t>ammprtn on intangible assets</t>
  </si>
  <si>
    <t>Not Match with schedule of WC above</t>
  </si>
  <si>
    <t>reducn in RE</t>
  </si>
  <si>
    <t>allowance for inventory slow move</t>
  </si>
  <si>
    <t>Remove Non-cash / Non-Operating items. (No Investing / Finance Items)</t>
  </si>
  <si>
    <t>Current Assets (Funds Use)</t>
  </si>
  <si>
    <t>Current Liabilties (Funds Source)</t>
  </si>
  <si>
    <t>Negative Working Capital (I - II)</t>
  </si>
  <si>
    <t>(Funds Sources &gt; Usage Assets)</t>
  </si>
  <si>
    <t>Long Term</t>
  </si>
  <si>
    <t>LT Deficit</t>
  </si>
  <si>
    <t>Short Term</t>
  </si>
  <si>
    <t>ST Surplus</t>
  </si>
  <si>
    <t>But we have to go in depth with our Investments and how we finance them ???</t>
  </si>
  <si>
    <t>Ideal Scenario</t>
  </si>
  <si>
    <t>Long Term Sources</t>
  </si>
  <si>
    <t>Long Term Usage</t>
  </si>
  <si>
    <t>Surplus LT Sources &gt; LT Usage</t>
  </si>
  <si>
    <t># +ve Working Capital</t>
  </si>
  <si>
    <t>LT surplus to fund ST usage</t>
  </si>
  <si>
    <t>CA &gt; CL</t>
  </si>
  <si>
    <t>Undesired Scenario</t>
  </si>
  <si>
    <t>Deficit LT Sources &lt; LT Usage</t>
  </si>
  <si>
    <t># -ve Working Capital</t>
  </si>
  <si>
    <t>CA &lt; CL</t>
  </si>
  <si>
    <t xml:space="preserve">ST surplus to fund LT Usage </t>
  </si>
  <si>
    <t xml:space="preserve">Sources-  Liability </t>
  </si>
  <si>
    <t xml:space="preserve">Usage - Assets </t>
  </si>
  <si>
    <t>3) Evaluate Capex Funding and priotize the same. Evaluate maintenance projects and procurement</t>
  </si>
  <si>
    <t>Note:</t>
  </si>
  <si>
    <t xml:space="preserve">Treasury management, AR, Sales Price Discovery, Capex Projects, Consideration of our WACC &amp; IRR </t>
  </si>
  <si>
    <t>1) ST has higher cost of funds being used for LT which normally should have lower cost of funds</t>
  </si>
  <si>
    <t>Sources of Funds (Liability)</t>
  </si>
  <si>
    <t>Uses of Funds (Assets)</t>
  </si>
  <si>
    <t>Funds Flow Statement - Analysis (2024 - 6 months)</t>
  </si>
  <si>
    <t>Though we are on the edge with Operational Surplus 61m (6 monthly) in CFS</t>
  </si>
  <si>
    <t>12.Funds Flow Statement (WC 23 Vs 24)</t>
  </si>
  <si>
    <t>13. Funds Flow Analysis (2024 - 6 months)</t>
  </si>
  <si>
    <t xml:space="preserve">change of ERP, all should be tightly controlled and looked into. </t>
  </si>
  <si>
    <t>Abbreviations:</t>
  </si>
  <si>
    <t>ST = Short Term (Current &lt; 1 year)</t>
  </si>
  <si>
    <t>LT = Long Term (Non Current &gt; 1 year)</t>
  </si>
  <si>
    <t>5) We are -ve Free Cash Flows (FCFF) as seen ie -46m . This means we are not able convert</t>
  </si>
  <si>
    <t xml:space="preserve"> our slim operational surplus into actual profits</t>
  </si>
  <si>
    <t>other factors.</t>
  </si>
  <si>
    <t>2) Ideally LT Funds used for ST but we are just doing the opposite and so we are facing WC problems</t>
  </si>
  <si>
    <t>WC = Working Capital</t>
  </si>
  <si>
    <t>WACC = Weighted Average Cost of Capital</t>
  </si>
  <si>
    <t>FCFF = Free Cash Flow to Firm</t>
  </si>
  <si>
    <t>CFS = Cash Flow Statement</t>
  </si>
  <si>
    <t xml:space="preserve">     Using Working Capital to fund </t>
  </si>
  <si>
    <t xml:space="preserve">      Long Term Usage</t>
  </si>
  <si>
    <t>Many areas in CA &amp; CL related to all departments need to be analysed and corrective action be taken.</t>
  </si>
  <si>
    <t>At moment we have average 9% cost of funds which need to be evaluated against our returns.</t>
  </si>
  <si>
    <t>As currently can be seen we now divert 93m of WC towards long term usage. This is not correct.</t>
  </si>
  <si>
    <t>4) Having ST surplus does not mean we have FCF free cash flows.</t>
  </si>
  <si>
    <t xml:space="preserve">Simply because ST Surplus is being generated via loans. </t>
  </si>
  <si>
    <t>This is primarily due to Low Sales Price, Weak AR, weak optimal product mix, capex control and</t>
  </si>
  <si>
    <t xml:space="preserve">6) As thumb rule company need to maintain 3X of WC. Therefore, 3 x 93m = 280m. This is approx </t>
  </si>
  <si>
    <t>the AR figure if recovered it will be good progress towards re-gain financial health.</t>
  </si>
  <si>
    <t xml:space="preserve">Concentrated efforts to form a Waraq Working Capital Policy in line with other policies to be taken up </t>
  </si>
  <si>
    <t>on immediate priority. With cross department implementaton.</t>
  </si>
  <si>
    <t>Long Term Funds</t>
  </si>
  <si>
    <t xml:space="preserve">Short Term Funds </t>
  </si>
  <si>
    <t xml:space="preserve">Long Term Assets </t>
  </si>
  <si>
    <t>Short Term Assets</t>
  </si>
  <si>
    <t>A</t>
  </si>
  <si>
    <t>C</t>
  </si>
  <si>
    <t>B (Waraq)</t>
  </si>
  <si>
    <t>Not Recommend</t>
  </si>
  <si>
    <t>Very Bad</t>
  </si>
  <si>
    <t>Sources-  Liability  (CL)</t>
  </si>
  <si>
    <t>Usage - Assets (CA)</t>
  </si>
  <si>
    <t>Net increase of Working Capital</t>
  </si>
  <si>
    <t>Funds from ops</t>
  </si>
  <si>
    <t>equity reduce</t>
  </si>
  <si>
    <t>emplouee benefit</t>
  </si>
  <si>
    <t>Profit (loss)</t>
  </si>
  <si>
    <t>add</t>
  </si>
  <si>
    <t>less</t>
  </si>
  <si>
    <t>Deprcn</t>
  </si>
  <si>
    <t>intangible</t>
  </si>
  <si>
    <t>cash used in ops</t>
  </si>
  <si>
    <t>source</t>
  </si>
  <si>
    <t>use</t>
  </si>
  <si>
    <t>employee</t>
  </si>
  <si>
    <t>Consolidated</t>
  </si>
  <si>
    <t>Long Term - Sources - Liability</t>
  </si>
  <si>
    <t>Long Term - Usage - Assets</t>
  </si>
  <si>
    <t>Proposed Dividend</t>
  </si>
  <si>
    <t>Elimination</t>
  </si>
  <si>
    <t>Provision for Staff Benefits</t>
  </si>
  <si>
    <t>Actuarial Remeasurements</t>
  </si>
  <si>
    <t>Long Term Loan- RYD Bank</t>
  </si>
  <si>
    <t>Long Term Loan - SNB Bank</t>
  </si>
  <si>
    <t>Tawaruq Long Term Loans-ANB</t>
  </si>
  <si>
    <t>Current portion of Long Term loans</t>
  </si>
  <si>
    <t>Plant Property &amp; Equipment (PP&amp;E)</t>
  </si>
  <si>
    <t>Acc Dep</t>
  </si>
  <si>
    <t>IFRS</t>
  </si>
  <si>
    <t>Investment in an associate - East Gas</t>
  </si>
  <si>
    <t>Short Term - Sources - Liability</t>
  </si>
  <si>
    <t>Short Term - Usage - Assets</t>
  </si>
  <si>
    <t>Long Term - Shortage</t>
  </si>
  <si>
    <t>Short Term  - Surplus</t>
  </si>
  <si>
    <t>Short Term Loan - ANB</t>
  </si>
  <si>
    <t>Short Term Loan-RYD Bank</t>
  </si>
  <si>
    <t>Short Term Loan-Al-Bilad Bank</t>
  </si>
  <si>
    <t>Short Term Loan AL-Ahli Bank</t>
  </si>
  <si>
    <t>Short Term Loan - Refinance ANB</t>
  </si>
  <si>
    <t>SNB Long Term Loan - Current Portion</t>
  </si>
  <si>
    <t>Current Portion Long Term Loans</t>
  </si>
  <si>
    <t xml:space="preserve">Lease  Liability  - Current </t>
  </si>
  <si>
    <t>Current Portion of Lease Liabilities</t>
  </si>
  <si>
    <t>Tawarruq Loan ANB- Current Portion</t>
  </si>
  <si>
    <t>Tawarruq Loan - RYD Bank-Current Portion</t>
  </si>
  <si>
    <t>Tawarruq Loan Bilad Current Portion</t>
  </si>
  <si>
    <t>Tawarruq Loan - Current Portion of long term loan</t>
  </si>
  <si>
    <t xml:space="preserve">Provision for Zakat </t>
  </si>
  <si>
    <t>Other Payables- GOSI</t>
  </si>
  <si>
    <t>Other Payables-</t>
  </si>
  <si>
    <t>Accrued Expenses- Elect.&amp;Tel. Post</t>
  </si>
  <si>
    <t>Accrued Expenes- General</t>
  </si>
  <si>
    <t>Salary Payable</t>
  </si>
  <si>
    <t>Accrued Expenses - Other</t>
  </si>
  <si>
    <t>Provision for Staff Benefits- Tickets</t>
  </si>
  <si>
    <t>Provision for Staff Benefits- Vacation Salary</t>
  </si>
  <si>
    <t>Dues To Employees</t>
  </si>
  <si>
    <t>Accrued For Tax</t>
  </si>
  <si>
    <t>Corporate Social Responsibility Fund</t>
  </si>
  <si>
    <t>Customer Advances</t>
  </si>
  <si>
    <t>Customer Advances - VAT</t>
  </si>
  <si>
    <t>HR Penalties</t>
  </si>
  <si>
    <t>Accrued Loan Commission-ANB PM3</t>
  </si>
  <si>
    <t>Accrued Loan Commission-RYD Bank</t>
  </si>
  <si>
    <t>Accrued Loan Commission-ANB</t>
  </si>
  <si>
    <t>Accrued Loan Commission-BILAD</t>
  </si>
  <si>
    <t>Accrued Loan Commission-NCB</t>
  </si>
  <si>
    <t>Accrued Loan Commission-LTL BILAD</t>
  </si>
  <si>
    <t>Accrued Loan Commission- LTL Riyadh Bank</t>
  </si>
  <si>
    <t>SNB – LTL  ACCRUED LOAN COMMISSION</t>
  </si>
  <si>
    <t>Accruals &amp; Other current liabilities</t>
  </si>
  <si>
    <t>Provision for Doubtful Debts</t>
  </si>
  <si>
    <t>Inventory - Raw Materials</t>
  </si>
  <si>
    <t>Inventory - Finished Goods</t>
  </si>
  <si>
    <t>Inventory - Chemicals</t>
  </si>
  <si>
    <t>Inventory - Consumables</t>
  </si>
  <si>
    <t>Inventory - Spare Parts</t>
  </si>
  <si>
    <t>Inventory-Production In Process</t>
  </si>
  <si>
    <t>Inventory - Capex Item</t>
  </si>
  <si>
    <t>Sales Packing Slip</t>
  </si>
  <si>
    <t>Sales Packing Slip Offset</t>
  </si>
  <si>
    <t>Purchase Accrual</t>
  </si>
  <si>
    <t>Provision - Slow Moving Inventory</t>
  </si>
  <si>
    <t>Purchase Packing Slip + Expdn for Product ARC</t>
  </si>
  <si>
    <t>Purchase Packing Slip Offset  + Clearing ARC</t>
  </si>
  <si>
    <t>Provision for Doudtful Debts - Trade Receivable</t>
  </si>
  <si>
    <t>Staff Receivables- Loans</t>
  </si>
  <si>
    <t>Staff Receivables - Housing</t>
  </si>
  <si>
    <t>Staff Receivables -other</t>
  </si>
  <si>
    <t>Other Debit Balances -P.Cash</t>
  </si>
  <si>
    <t>Non Trade Receivables</t>
  </si>
  <si>
    <t>Staff Receivables - Per Diem</t>
  </si>
  <si>
    <t>Prepaid - Rent</t>
  </si>
  <si>
    <t>Prepaid - Insurance</t>
  </si>
  <si>
    <t>Prepaid - Others</t>
  </si>
  <si>
    <t>Advance Payment - Payables</t>
  </si>
  <si>
    <t>Other Receivable</t>
  </si>
  <si>
    <t>Insurance Claims</t>
  </si>
  <si>
    <t>Fire Claim - TG-3</t>
  </si>
  <si>
    <t>Prepaid Proj Payments Tharawat</t>
  </si>
  <si>
    <t>Pre-Payments &amp; Other Current Assets</t>
  </si>
  <si>
    <t>Cash In Hand</t>
  </si>
  <si>
    <t>Arab National Bank 01160094955000</t>
  </si>
  <si>
    <t>National Commercial Bank - 106</t>
  </si>
  <si>
    <t>ANB ARC#27</t>
  </si>
  <si>
    <t>ANB Corporate#34</t>
  </si>
  <si>
    <t>ANB -41</t>
  </si>
  <si>
    <t>ANB 27- EURO</t>
  </si>
  <si>
    <t>ANB 23-USD</t>
  </si>
  <si>
    <t xml:space="preserve">ANB 0001- Fathi 761 Petty Cash card </t>
  </si>
  <si>
    <t>Al Rajhi Bank - SR</t>
  </si>
  <si>
    <t>Al Rajhi Bank - USD</t>
  </si>
  <si>
    <t>Fransi Bank-PM3</t>
  </si>
  <si>
    <t>Fransi Bank EUR PM3</t>
  </si>
  <si>
    <t>Fransi Bank GBP PM3</t>
  </si>
  <si>
    <t>Fransi Bank USD PM3</t>
  </si>
  <si>
    <t xml:space="preserve">Fransi Trasnportation  </t>
  </si>
  <si>
    <t>Fransi Factory</t>
  </si>
  <si>
    <t>Bank Al-Bilad - SR</t>
  </si>
  <si>
    <t>Bank Al-Bilad - AR - SR</t>
  </si>
  <si>
    <t>Bank Al-Bilad - FACTORY</t>
  </si>
  <si>
    <t>Riyadh Bank SR</t>
  </si>
  <si>
    <t>SNB 2305 - LOAN</t>
  </si>
  <si>
    <t>SNB 2403 - EUR</t>
  </si>
  <si>
    <t>SNB 2501 - SAR</t>
  </si>
  <si>
    <t>SNB 2610 - USD</t>
  </si>
  <si>
    <t>SNB 2708 - HR</t>
  </si>
  <si>
    <t>Cash &amp; Bank Balances</t>
  </si>
  <si>
    <t>Arab National Bank 0108095208970010</t>
  </si>
  <si>
    <t>Arab National -Dammam 0108095208970034</t>
  </si>
  <si>
    <t>Arab National Bank-Riyadh - 0108095208970041</t>
  </si>
  <si>
    <t>Arab National Bank-Jeddah - 0108095208970065</t>
  </si>
  <si>
    <t>Arab National Bank-Hafer AL Baten - 0108095208970058</t>
  </si>
  <si>
    <t>Arab National Bank-Qassim-0108095208970072</t>
  </si>
  <si>
    <t>Arab National Bank-Medinah-0108095208970089</t>
  </si>
  <si>
    <t>Arab National Bank-Dammam 3-0108095208970096</t>
  </si>
  <si>
    <t>Arab National Bank-Tabouk-0108095208970100</t>
  </si>
  <si>
    <t>Arab National Bank- HR 0108095208970119</t>
  </si>
  <si>
    <t>TOM Bank ANB</t>
  </si>
  <si>
    <t>TOM- ANB 21</t>
  </si>
  <si>
    <t>ANB –Firefighting</t>
  </si>
  <si>
    <t>ARC (FA Control Act + Tax Control Act)</t>
  </si>
  <si>
    <t>(need to combine CIP + Proj Progress email to Chief Act)</t>
  </si>
  <si>
    <t xml:space="preserve"> - EBITDA representation:</t>
  </si>
  <si>
    <t>Calculation of BETA of (Company Name)</t>
  </si>
  <si>
    <t>(This is required as Co does not have a stock trading history, so we use comparable company beta)</t>
  </si>
  <si>
    <t>Re levering W Beta = Unlevered Mepco Beta x ( 1 + (debt/equity) x (1-T) )</t>
  </si>
  <si>
    <t>Unlevered M BETA  = Beta levered / (1+ (debt/equity) x (1-T) )</t>
  </si>
  <si>
    <t>WACC for W</t>
  </si>
  <si>
    <t>W is Diversion of  Working Capital (Short Term Surplus) For Long Term Usage as seen.</t>
  </si>
  <si>
    <t>W</t>
  </si>
  <si>
    <t>Ideally LT Surplus should be used for ST Deficit. But w is doing opposite.</t>
  </si>
  <si>
    <t>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</si>
</sst>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1" formatCode="_(* #,##0_);_(* \(#,##0\);_(* &quot;-&quot;_);_(@_)"/>
    <numFmt numFmtId="43" formatCode="_(* #,##0.00_);_(* \(#,##0.00\);_(* &quot;-&quot;??_);_(@_)"/>
    <numFmt numFmtId="164" formatCode="_-* #,##0.00_-;\-* #,##0.00_-;_-* &quot;-&quot;??_-;_-@_-"/>
    <numFmt numFmtId="165" formatCode="_-* #,##0_-;\-* #,##0_-;_-* &quot;-&quot;??_-;_-@_-"/>
    <numFmt numFmtId="166" formatCode="#,##0;\(#,##0\)"/>
    <numFmt numFmtId="167" formatCode="_(* #,##0_);_(* \(#,##0\);_(* &quot;-&quot;??_);_(@_)"/>
    <numFmt numFmtId="168" formatCode="_-* #,##0.0_-;\-* #,##0.0_-;_-* &quot;-&quot;??_-;_-@_-"/>
    <numFmt numFmtId="169" formatCode="0.0%"/>
    <numFmt numFmtId="170" formatCode="0.0"/>
    <numFmt numFmtId="171" formatCode="0.000%"/>
    <numFmt numFmtId="172" formatCode="0.00_);\(0.00\)"/>
    <numFmt numFmtId="173" formatCode="0.0000"/>
    <numFmt numFmtId="174" formatCode="0.000"/>
    <numFmt numFmtId="175" formatCode="#,##0.0_);[Red]\(#,##0.0\)"/>
  </numFmts>
  <fonts count="82" x14ac:knownFonts="1">
    <font>
      <sz val="12"/>
      <color theme="1"/>
      <name val="Arial Narrow"/>
      <family val="2"/>
    </font>
    <font>
      <sz val="11"/>
      <color theme="1"/>
      <name val="Calibri"/>
      <family val="2"/>
      <scheme val="minor"/>
    </font>
    <font>
      <sz val="11"/>
      <color theme="1"/>
      <name val="Calibri"/>
      <family val="2"/>
      <scheme val="minor"/>
    </font>
    <font>
      <sz val="11"/>
      <color theme="1"/>
      <name val="Calibri"/>
      <family val="2"/>
      <scheme val="minor"/>
    </font>
    <font>
      <sz val="12"/>
      <color theme="1"/>
      <name val="Arial Narrow"/>
      <family val="2"/>
    </font>
    <font>
      <b/>
      <sz val="12"/>
      <color theme="1"/>
      <name val="Arial Narrow"/>
      <family val="2"/>
    </font>
    <font>
      <u/>
      <sz val="12"/>
      <color theme="10"/>
      <name val="Arial Narrow"/>
      <family val="2"/>
    </font>
    <font>
      <sz val="14"/>
      <color theme="1"/>
      <name val="Times New Roman"/>
      <family val="1"/>
    </font>
    <font>
      <b/>
      <sz val="14"/>
      <color theme="1"/>
      <name val="Times New Roman"/>
      <family val="1"/>
    </font>
    <font>
      <b/>
      <sz val="14"/>
      <name val="Times New Roman"/>
      <family val="1"/>
    </font>
    <font>
      <sz val="12"/>
      <name val="Arial Narrow"/>
      <family val="2"/>
    </font>
    <font>
      <b/>
      <sz val="28"/>
      <name val="Arial Narrow"/>
      <family val="2"/>
    </font>
    <font>
      <b/>
      <sz val="22"/>
      <name val="Arial Narrow"/>
      <family val="2"/>
    </font>
    <font>
      <b/>
      <i/>
      <sz val="14"/>
      <name val="Times New Roman"/>
      <family val="1"/>
    </font>
    <font>
      <b/>
      <sz val="12"/>
      <color theme="1"/>
      <name val="Times New Roman"/>
      <family val="1"/>
    </font>
    <font>
      <b/>
      <i/>
      <sz val="14"/>
      <color rgb="FFFF0000"/>
      <name val="Times New Roman"/>
      <family val="1"/>
    </font>
    <font>
      <b/>
      <sz val="14"/>
      <color rgb="FFFF0000"/>
      <name val="Arial Narrow"/>
      <family val="2"/>
    </font>
    <font>
      <b/>
      <sz val="14"/>
      <name val="Arial Narrow"/>
      <family val="2"/>
    </font>
    <font>
      <sz val="9"/>
      <color rgb="FF111111"/>
      <name val="Arial"/>
      <family val="2"/>
    </font>
    <font>
      <sz val="9"/>
      <name val="Arial"/>
      <family val="2"/>
    </font>
    <font>
      <u/>
      <sz val="9"/>
      <name val="Arial"/>
      <family val="2"/>
    </font>
    <font>
      <b/>
      <sz val="12"/>
      <name val="Arial"/>
      <family val="2"/>
    </font>
    <font>
      <b/>
      <sz val="14"/>
      <color theme="1"/>
      <name val="Arial"/>
      <family val="2"/>
    </font>
    <font>
      <sz val="12"/>
      <color theme="1"/>
      <name val="Arial"/>
      <family val="2"/>
    </font>
    <font>
      <b/>
      <sz val="16"/>
      <color theme="1"/>
      <name val="Arial Narrow"/>
      <family val="2"/>
    </font>
    <font>
      <b/>
      <sz val="16"/>
      <color theme="1"/>
      <name val="Times New Roman"/>
      <family val="1"/>
    </font>
    <font>
      <sz val="12"/>
      <color theme="1"/>
      <name val="Times New Roman"/>
      <family val="1"/>
    </font>
    <font>
      <b/>
      <sz val="12"/>
      <name val="Times New Roman"/>
      <family val="1"/>
    </font>
    <font>
      <b/>
      <u/>
      <sz val="12"/>
      <color theme="1"/>
      <name val="Times New Roman"/>
      <family val="1"/>
    </font>
    <font>
      <b/>
      <i/>
      <sz val="12"/>
      <color theme="1"/>
      <name val="Times New Roman"/>
      <family val="1"/>
    </font>
    <font>
      <b/>
      <sz val="16"/>
      <color rgb="FFFF0000"/>
      <name val="Arial Narrow"/>
      <family val="2"/>
    </font>
    <font>
      <sz val="12"/>
      <name val="Times New Roman"/>
      <family val="1"/>
    </font>
    <font>
      <b/>
      <sz val="9"/>
      <name val="Arial"/>
      <family val="2"/>
    </font>
    <font>
      <b/>
      <sz val="9"/>
      <color rgb="FFFF0000"/>
      <name val="Arial"/>
      <family val="2"/>
    </font>
    <font>
      <b/>
      <u/>
      <sz val="16"/>
      <name val="Arial Narrow"/>
      <family val="2"/>
    </font>
    <font>
      <b/>
      <sz val="12"/>
      <color rgb="FFFF0000"/>
      <name val="Times New Roman"/>
      <family val="1"/>
    </font>
    <font>
      <b/>
      <sz val="14"/>
      <color rgb="FF00B050"/>
      <name val="Arial Narrow"/>
      <family val="2"/>
    </font>
    <font>
      <b/>
      <u/>
      <sz val="14"/>
      <color theme="10"/>
      <name val="Times New Roman"/>
      <family val="1"/>
    </font>
    <font>
      <sz val="24"/>
      <color theme="1"/>
      <name val="Times New Roman"/>
      <family val="1"/>
    </font>
    <font>
      <b/>
      <sz val="16"/>
      <color rgb="FFFF0000"/>
      <name val="Times New Roman"/>
      <family val="1"/>
    </font>
    <font>
      <b/>
      <sz val="18"/>
      <color rgb="FFFF0000"/>
      <name val="Times New Roman"/>
      <family val="1"/>
    </font>
    <font>
      <b/>
      <sz val="18"/>
      <color rgb="FF132E57"/>
      <name val="Segoe UI"/>
      <family val="2"/>
    </font>
    <font>
      <sz val="9"/>
      <color rgb="FF57595D"/>
      <name val="Segoe UI"/>
      <family val="2"/>
    </font>
    <font>
      <sz val="11"/>
      <color rgb="FF57595D"/>
      <name val="Times New Roman"/>
      <family val="1"/>
    </font>
    <font>
      <sz val="11"/>
      <color theme="1"/>
      <name val="Times New Roman"/>
      <family val="1"/>
    </font>
    <font>
      <b/>
      <u/>
      <sz val="12"/>
      <name val="Arial Narrow"/>
      <family val="2"/>
    </font>
    <font>
      <b/>
      <i/>
      <sz val="12"/>
      <name val="Times New Roman"/>
      <family val="1"/>
    </font>
    <font>
      <b/>
      <i/>
      <sz val="12"/>
      <color rgb="FFFF0000"/>
      <name val="Times New Roman"/>
      <family val="1"/>
    </font>
    <font>
      <b/>
      <u/>
      <sz val="12"/>
      <name val="Times New Roman"/>
      <family val="1"/>
    </font>
    <font>
      <sz val="12"/>
      <color rgb="FF0070C0"/>
      <name val="Times New Roman"/>
      <family val="1"/>
    </font>
    <font>
      <i/>
      <sz val="12"/>
      <name val="Times New Roman"/>
      <family val="1"/>
    </font>
    <font>
      <sz val="12"/>
      <color rgb="FFFF0000"/>
      <name val="Times New Roman"/>
      <family val="1"/>
    </font>
    <font>
      <b/>
      <i/>
      <sz val="12"/>
      <color theme="1"/>
      <name val="Arial Narrow"/>
      <family val="2"/>
    </font>
    <font>
      <u/>
      <sz val="12"/>
      <color theme="1"/>
      <name val="Arial Narrow"/>
      <family val="2"/>
    </font>
    <font>
      <sz val="12"/>
      <color rgb="FFFF0000"/>
      <name val="Arial Narrow"/>
      <family val="2"/>
    </font>
    <font>
      <b/>
      <sz val="12"/>
      <color rgb="FFFF0000"/>
      <name val="Arial Narrow"/>
      <family val="2"/>
    </font>
    <font>
      <b/>
      <sz val="12"/>
      <color rgb="FFFF0000"/>
      <name val="Calibri"/>
      <family val="2"/>
      <scheme val="minor"/>
    </font>
    <font>
      <b/>
      <sz val="14"/>
      <color theme="1"/>
      <name val="Arial Narrow"/>
      <family val="2"/>
    </font>
    <font>
      <b/>
      <u/>
      <sz val="12"/>
      <color theme="1"/>
      <name val="Arial Narrow"/>
      <family val="2"/>
    </font>
    <font>
      <b/>
      <sz val="12"/>
      <color theme="1"/>
      <name val="Calibri"/>
      <family val="2"/>
      <scheme val="minor"/>
    </font>
    <font>
      <b/>
      <sz val="12"/>
      <name val="Arial Narrow"/>
      <family val="2"/>
    </font>
    <font>
      <sz val="11"/>
      <color rgb="FFFF0000"/>
      <name val="Calibri"/>
      <family val="2"/>
      <scheme val="minor"/>
    </font>
    <font>
      <b/>
      <sz val="14"/>
      <color theme="1"/>
      <name val="Calibri"/>
      <family val="2"/>
      <scheme val="minor"/>
    </font>
    <font>
      <b/>
      <sz val="11"/>
      <color theme="1"/>
      <name val="Calibri"/>
      <family val="2"/>
      <scheme val="minor"/>
    </font>
    <font>
      <b/>
      <sz val="11"/>
      <color rgb="FFFF0000"/>
      <name val="Calibri"/>
      <family val="2"/>
      <scheme val="minor"/>
    </font>
    <font>
      <b/>
      <u/>
      <sz val="11"/>
      <color theme="1"/>
      <name val="Calibri"/>
      <family val="2"/>
      <scheme val="minor"/>
    </font>
    <font>
      <sz val="10"/>
      <name val="Arial"/>
      <family val="2"/>
    </font>
    <font>
      <b/>
      <sz val="11"/>
      <color theme="3"/>
      <name val="Calibri"/>
      <family val="2"/>
      <scheme val="minor"/>
    </font>
    <font>
      <sz val="11"/>
      <name val="Calibri"/>
      <family val="2"/>
      <scheme val="minor"/>
    </font>
    <font>
      <sz val="14"/>
      <color rgb="FFFF0000"/>
      <name val="Calibri"/>
      <family val="2"/>
      <scheme val="minor"/>
    </font>
    <font>
      <b/>
      <sz val="14"/>
      <color rgb="FFFF0000"/>
      <name val="Calibri"/>
      <family val="2"/>
      <scheme val="minor"/>
    </font>
    <font>
      <sz val="12"/>
      <color rgb="FF222222"/>
      <name val="Arial"/>
      <family val="2"/>
    </font>
    <font>
      <b/>
      <u/>
      <sz val="16"/>
      <color theme="1"/>
      <name val="Times New Roman"/>
      <family val="1"/>
    </font>
    <font>
      <b/>
      <sz val="16"/>
      <name val="Times New Roman"/>
      <family val="1"/>
    </font>
    <font>
      <sz val="14"/>
      <name val="Times New Roman"/>
      <family val="1"/>
    </font>
    <font>
      <b/>
      <sz val="11"/>
      <color rgb="FFFF0000"/>
      <name val="Times New Roman"/>
      <family val="1"/>
    </font>
    <font>
      <b/>
      <sz val="12"/>
      <color rgb="FF00B0F0"/>
      <name val="Times New Roman"/>
      <family val="1"/>
    </font>
    <font>
      <b/>
      <sz val="12"/>
      <color rgb="FF00B0F0"/>
      <name val="Arial Narrow"/>
      <family val="2"/>
    </font>
    <font>
      <b/>
      <u val="singleAccounting"/>
      <sz val="12"/>
      <color theme="1"/>
      <name val="Times New Roman"/>
      <family val="1"/>
    </font>
    <font>
      <sz val="12"/>
      <color rgb="FF000000"/>
      <name val="Calibri"/>
      <family val="2"/>
      <scheme val="minor"/>
    </font>
    <font>
      <b/>
      <sz val="9"/>
      <color indexed="81"/>
      <name val="Tahoma"/>
      <family val="2"/>
    </font>
    <font>
      <sz val="9"/>
      <color indexed="81"/>
      <name val="Tahoma"/>
      <family val="2"/>
    </font>
  </fonts>
  <fills count="14">
    <fill>
      <patternFill patternType="none"/>
    </fill>
    <fill>
      <patternFill patternType="gray125"/>
    </fill>
    <fill>
      <patternFill patternType="solid">
        <fgColor theme="9" tint="0.39997558519241921"/>
        <bgColor indexed="64"/>
      </patternFill>
    </fill>
    <fill>
      <patternFill patternType="solid">
        <fgColor rgb="FFFFFF00"/>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theme="5" tint="0.79998168889431442"/>
        <bgColor indexed="64"/>
      </patternFill>
    </fill>
    <fill>
      <patternFill patternType="solid">
        <fgColor theme="7" tint="0.59999389629810485"/>
        <bgColor indexed="64"/>
      </patternFill>
    </fill>
    <fill>
      <patternFill patternType="solid">
        <fgColor theme="4" tint="0.79998168889431442"/>
        <bgColor indexed="64"/>
      </patternFill>
    </fill>
    <fill>
      <patternFill patternType="solid">
        <fgColor theme="4" tint="0.59999389629810485"/>
        <bgColor indexed="64"/>
      </patternFill>
    </fill>
    <fill>
      <patternFill patternType="solid">
        <fgColor theme="7" tint="0.59996337778862885"/>
        <bgColor indexed="64"/>
      </patternFill>
    </fill>
    <fill>
      <patternFill patternType="solid">
        <fgColor theme="0" tint="-4.9989318521683403E-2"/>
        <bgColor indexed="64"/>
      </patternFill>
    </fill>
    <fill>
      <patternFill patternType="solid">
        <fgColor theme="1"/>
        <bgColor indexed="64"/>
      </patternFill>
    </fill>
  </fills>
  <borders count="69">
    <border>
      <left/>
      <right/>
      <top/>
      <bottom/>
      <diagonal/>
    </border>
    <border>
      <left/>
      <right/>
      <top/>
      <bottom style="thin">
        <color indexed="64"/>
      </bottom>
      <diagonal/>
    </border>
    <border>
      <left/>
      <right/>
      <top style="thin">
        <color theme="1"/>
      </top>
      <bottom/>
      <diagonal/>
    </border>
    <border>
      <left/>
      <right/>
      <top style="double">
        <color theme="1"/>
      </top>
      <bottom style="double">
        <color theme="1"/>
      </bottom>
      <diagonal/>
    </border>
    <border>
      <left/>
      <right/>
      <top/>
      <bottom style="double">
        <color auto="1"/>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theme="1"/>
      </top>
      <bottom/>
      <diagonal/>
    </border>
    <border>
      <left style="thin">
        <color indexed="64"/>
      </left>
      <right/>
      <top style="double">
        <color theme="1"/>
      </top>
      <bottom style="double">
        <color theme="1"/>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style="thin">
        <color theme="1"/>
      </top>
      <bottom/>
      <diagonal/>
    </border>
    <border>
      <left style="thin">
        <color indexed="64"/>
      </left>
      <right style="thin">
        <color indexed="64"/>
      </right>
      <top style="double">
        <color theme="1"/>
      </top>
      <bottom style="double">
        <color theme="1"/>
      </bottom>
      <diagonal/>
    </border>
    <border>
      <left style="thin">
        <color indexed="64"/>
      </left>
      <right style="thin">
        <color indexed="64"/>
      </right>
      <top/>
      <bottom style="thin">
        <color indexed="64"/>
      </bottom>
      <diagonal/>
    </border>
    <border>
      <left style="thin">
        <color indexed="64"/>
      </left>
      <right/>
      <top/>
      <bottom style="double">
        <color auto="1"/>
      </bottom>
      <diagonal/>
    </border>
    <border>
      <left style="thin">
        <color indexed="64"/>
      </left>
      <right/>
      <top style="thin">
        <color indexed="64"/>
      </top>
      <bottom style="double">
        <color auto="1"/>
      </bottom>
      <diagonal/>
    </border>
    <border>
      <left style="thin">
        <color indexed="64"/>
      </left>
      <right style="thin">
        <color indexed="64"/>
      </right>
      <top/>
      <bottom style="double">
        <color auto="1"/>
      </bottom>
      <diagonal/>
    </border>
    <border>
      <left style="thin">
        <color indexed="64"/>
      </left>
      <right style="thin">
        <color indexed="64"/>
      </right>
      <top style="thin">
        <color indexed="64"/>
      </top>
      <bottom style="double">
        <color auto="1"/>
      </bottom>
      <diagonal/>
    </border>
    <border>
      <left style="thin">
        <color indexed="64"/>
      </left>
      <right/>
      <top style="double">
        <color auto="1"/>
      </top>
      <bottom/>
      <diagonal/>
    </border>
    <border>
      <left style="thin">
        <color indexed="64"/>
      </left>
      <right style="thin">
        <color indexed="64"/>
      </right>
      <top style="double">
        <color auto="1"/>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right style="thin">
        <color indexed="64"/>
      </right>
      <top style="medium">
        <color indexed="64"/>
      </top>
      <bottom style="thin">
        <color indexed="64"/>
      </bottom>
      <diagonal/>
    </border>
    <border>
      <left style="medium">
        <color indexed="64"/>
      </left>
      <right/>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right style="medium">
        <color indexed="64"/>
      </right>
      <top/>
      <bottom style="thin">
        <color indexed="64"/>
      </bottom>
      <diagonal/>
    </border>
    <border>
      <left style="thin">
        <color indexed="64"/>
      </left>
      <right style="thin">
        <color indexed="64"/>
      </right>
      <top style="medium">
        <color indexed="64"/>
      </top>
      <bottom/>
      <diagonal/>
    </border>
    <border>
      <left/>
      <right style="thin">
        <color indexed="64"/>
      </right>
      <top style="medium">
        <color indexed="64"/>
      </top>
      <bottom/>
      <diagonal/>
    </border>
    <border>
      <left style="thin">
        <color indexed="64"/>
      </left>
      <right style="medium">
        <color indexed="64"/>
      </right>
      <top/>
      <bottom/>
      <diagonal/>
    </border>
    <border>
      <left style="medium">
        <color indexed="64"/>
      </left>
      <right/>
      <top style="thin">
        <color theme="1"/>
      </top>
      <bottom/>
      <diagonal/>
    </border>
    <border>
      <left style="thin">
        <color indexed="64"/>
      </left>
      <right style="medium">
        <color indexed="64"/>
      </right>
      <top style="thin">
        <color theme="1"/>
      </top>
      <bottom/>
      <diagonal/>
    </border>
    <border>
      <left style="medium">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top/>
      <bottom style="medium">
        <color theme="4" tint="0.39997558519241921"/>
      </bottom>
      <diagonal/>
    </border>
    <border>
      <left/>
      <right/>
      <top style="thin">
        <color theme="4"/>
      </top>
      <bottom style="double">
        <color theme="4"/>
      </bottom>
      <diagonal/>
    </border>
    <border>
      <left/>
      <right style="thin">
        <color indexed="64"/>
      </right>
      <top/>
      <bottom style="medium">
        <color indexed="64"/>
      </bottom>
      <diagonal/>
    </border>
  </borders>
  <cellStyleXfs count="16">
    <xf numFmtId="0" fontId="0" fillId="0" borderId="0"/>
    <xf numFmtId="164" fontId="4" fillId="0" borderId="0" applyFont="0" applyFill="0" applyBorder="0" applyAlignment="0" applyProtection="0"/>
    <xf numFmtId="0" fontId="5" fillId="0" borderId="2" applyNumberFormat="0" applyFill="0" applyProtection="0"/>
    <xf numFmtId="0" fontId="5" fillId="0" borderId="4" applyNumberFormat="0" applyFill="0" applyAlignment="0" applyProtection="0"/>
    <xf numFmtId="0" fontId="5" fillId="0" borderId="3" applyNumberFormat="0" applyAlignment="0" applyProtection="0"/>
    <xf numFmtId="0" fontId="6" fillId="0" borderId="0" applyNumberFormat="0" applyFill="0" applyBorder="0" applyAlignment="0" applyProtection="0"/>
    <xf numFmtId="9" fontId="4" fillId="0" borderId="0" applyFont="0" applyFill="0" applyBorder="0" applyAlignment="0" applyProtection="0"/>
    <xf numFmtId="0" fontId="66" fillId="0" borderId="0"/>
    <xf numFmtId="0" fontId="3" fillId="0" borderId="0"/>
    <xf numFmtId="43" fontId="3" fillId="0" borderId="0" applyFont="0" applyFill="0" applyBorder="0" applyAlignment="0" applyProtection="0"/>
    <xf numFmtId="0" fontId="67" fillId="0" borderId="66" applyNumberFormat="0" applyFill="0" applyAlignment="0" applyProtection="0"/>
    <xf numFmtId="0" fontId="63" fillId="0" borderId="67" applyNumberFormat="0" applyFill="0" applyAlignment="0" applyProtection="0"/>
    <xf numFmtId="0" fontId="67" fillId="0" borderId="0" applyNumberFormat="0" applyFill="0" applyBorder="0" applyAlignment="0" applyProtection="0"/>
    <xf numFmtId="0" fontId="2" fillId="0" borderId="0"/>
    <xf numFmtId="43" fontId="2" fillId="0" borderId="0" applyFont="0" applyFill="0" applyBorder="0" applyAlignment="0" applyProtection="0"/>
    <xf numFmtId="0" fontId="66" fillId="0" borderId="0"/>
  </cellStyleXfs>
  <cellXfs count="823">
    <xf numFmtId="0" fontId="0" fillId="0" borderId="0" xfId="0"/>
    <xf numFmtId="0" fontId="8" fillId="0" borderId="0" xfId="0" applyFont="1"/>
    <xf numFmtId="0" fontId="14" fillId="0" borderId="8" xfId="4" applyFont="1" applyBorder="1"/>
    <xf numFmtId="0" fontId="14" fillId="4" borderId="12" xfId="4" applyFont="1" applyFill="1" applyBorder="1"/>
    <xf numFmtId="0" fontId="10" fillId="4" borderId="34" xfId="0" applyFont="1" applyFill="1" applyBorder="1"/>
    <xf numFmtId="0" fontId="10" fillId="4" borderId="36" xfId="0" applyFont="1" applyFill="1" applyBorder="1"/>
    <xf numFmtId="0" fontId="10" fillId="4" borderId="37" xfId="0" applyFont="1" applyFill="1" applyBorder="1"/>
    <xf numFmtId="0" fontId="10" fillId="4" borderId="38" xfId="0" applyFont="1" applyFill="1" applyBorder="1"/>
    <xf numFmtId="0" fontId="10" fillId="4" borderId="39" xfId="0" applyFont="1" applyFill="1" applyBorder="1"/>
    <xf numFmtId="0" fontId="10" fillId="4" borderId="40" xfId="0" applyFont="1" applyFill="1" applyBorder="1"/>
    <xf numFmtId="0" fontId="10" fillId="4" borderId="41" xfId="0" applyFont="1" applyFill="1" applyBorder="1"/>
    <xf numFmtId="0" fontId="10" fillId="0" borderId="0" xfId="0" applyFont="1"/>
    <xf numFmtId="0" fontId="0" fillId="0" borderId="0" xfId="0" applyAlignment="1">
      <alignment vertical="top" wrapText="1"/>
    </xf>
    <xf numFmtId="0" fontId="23" fillId="0" borderId="0" xfId="0" applyFont="1"/>
    <xf numFmtId="0" fontId="19" fillId="0" borderId="31" xfId="0" applyFont="1" applyBorder="1" applyAlignment="1">
      <alignment vertical="top" wrapText="1"/>
    </xf>
    <xf numFmtId="0" fontId="18" fillId="0" borderId="31" xfId="0" applyFont="1" applyBorder="1" applyAlignment="1">
      <alignment vertical="top" wrapText="1"/>
    </xf>
    <xf numFmtId="0" fontId="19" fillId="0" borderId="31" xfId="0" applyFont="1" applyBorder="1" applyAlignment="1">
      <alignment wrapText="1"/>
    </xf>
    <xf numFmtId="0" fontId="21" fillId="0" borderId="31" xfId="0" applyFont="1" applyBorder="1" applyAlignment="1">
      <alignment vertical="top" wrapText="1"/>
    </xf>
    <xf numFmtId="0" fontId="18" fillId="0" borderId="31" xfId="0" applyFont="1" applyBorder="1" applyAlignment="1">
      <alignment horizontal="left" vertical="top" wrapText="1" indent="1"/>
    </xf>
    <xf numFmtId="0" fontId="0" fillId="0" borderId="31" xfId="0" applyBorder="1" applyAlignment="1">
      <alignment vertical="top" wrapText="1"/>
    </xf>
    <xf numFmtId="0" fontId="0" fillId="0" borderId="31" xfId="0" applyBorder="1" applyAlignment="1">
      <alignment wrapText="1"/>
    </xf>
    <xf numFmtId="0" fontId="19" fillId="0" borderId="21" xfId="0" applyFont="1" applyBorder="1" applyAlignment="1">
      <alignment vertical="top" wrapText="1"/>
    </xf>
    <xf numFmtId="0" fontId="18" fillId="0" borderId="21" xfId="0" applyFont="1" applyBorder="1" applyAlignment="1">
      <alignment vertical="top" wrapText="1"/>
    </xf>
    <xf numFmtId="0" fontId="22" fillId="0" borderId="42" xfId="0" applyFont="1" applyBorder="1" applyAlignment="1">
      <alignment vertical="top" wrapText="1"/>
    </xf>
    <xf numFmtId="0" fontId="22" fillId="0" borderId="43" xfId="0" applyFont="1" applyBorder="1" applyAlignment="1">
      <alignment vertical="top" wrapText="1"/>
    </xf>
    <xf numFmtId="0" fontId="22" fillId="0" borderId="44" xfId="0" applyFont="1" applyBorder="1" applyAlignment="1">
      <alignment vertical="top" wrapText="1"/>
    </xf>
    <xf numFmtId="38" fontId="13" fillId="0" borderId="1" xfId="1" applyNumberFormat="1" applyFont="1" applyBorder="1"/>
    <xf numFmtId="38" fontId="15" fillId="3" borderId="1" xfId="1" applyNumberFormat="1" applyFont="1" applyFill="1" applyBorder="1" applyAlignment="1">
      <alignment horizontal="center" vertical="center"/>
    </xf>
    <xf numFmtId="38" fontId="7" fillId="0" borderId="1" xfId="1" applyNumberFormat="1" applyFont="1" applyBorder="1"/>
    <xf numFmtId="38" fontId="8" fillId="0" borderId="1" xfId="1" applyNumberFormat="1" applyFont="1" applyBorder="1" applyAlignment="1">
      <alignment horizontal="right"/>
    </xf>
    <xf numFmtId="0" fontId="5" fillId="0" borderId="0" xfId="0" applyFont="1"/>
    <xf numFmtId="38" fontId="26" fillId="0" borderId="0" xfId="1" applyNumberFormat="1" applyFont="1"/>
    <xf numFmtId="38" fontId="14" fillId="0" borderId="13" xfId="1" applyNumberFormat="1" applyFont="1" applyBorder="1"/>
    <xf numFmtId="38" fontId="27" fillId="7" borderId="0" xfId="1" applyNumberFormat="1" applyFont="1" applyFill="1"/>
    <xf numFmtId="38" fontId="28" fillId="0" borderId="0" xfId="1" applyNumberFormat="1" applyFont="1"/>
    <xf numFmtId="38" fontId="26" fillId="0" borderId="1" xfId="1" applyNumberFormat="1" applyFont="1" applyBorder="1"/>
    <xf numFmtId="38" fontId="14" fillId="0" borderId="0" xfId="1" applyNumberFormat="1" applyFont="1"/>
    <xf numFmtId="38" fontId="14" fillId="0" borderId="31" xfId="1" applyNumberFormat="1" applyFont="1" applyBorder="1"/>
    <xf numFmtId="38" fontId="14" fillId="0" borderId="42" xfId="1" applyNumberFormat="1" applyFont="1" applyBorder="1"/>
    <xf numFmtId="38" fontId="14" fillId="6" borderId="0" xfId="1" applyNumberFormat="1" applyFont="1" applyFill="1"/>
    <xf numFmtId="38" fontId="29" fillId="0" borderId="13" xfId="1" applyNumberFormat="1" applyFont="1" applyBorder="1"/>
    <xf numFmtId="164" fontId="26" fillId="0" borderId="0" xfId="1" applyFont="1"/>
    <xf numFmtId="0" fontId="26" fillId="0" borderId="0" xfId="0" applyFont="1"/>
    <xf numFmtId="0" fontId="30" fillId="0" borderId="0" xfId="0" applyFont="1"/>
    <xf numFmtId="38" fontId="26" fillId="0" borderId="0" xfId="1" applyNumberFormat="1" applyFont="1" applyFill="1"/>
    <xf numFmtId="0" fontId="14" fillId="0" borderId="28" xfId="0" applyFont="1" applyBorder="1"/>
    <xf numFmtId="0" fontId="14" fillId="9" borderId="28" xfId="0" applyFont="1" applyFill="1" applyBorder="1"/>
    <xf numFmtId="37" fontId="26" fillId="0" borderId="0" xfId="1" applyNumberFormat="1" applyFont="1"/>
    <xf numFmtId="37" fontId="26" fillId="0" borderId="1" xfId="1" applyNumberFormat="1" applyFont="1" applyBorder="1"/>
    <xf numFmtId="0" fontId="14" fillId="0" borderId="0" xfId="0" applyFont="1" applyAlignment="1">
      <alignment horizontal="right"/>
    </xf>
    <xf numFmtId="0" fontId="14" fillId="0" borderId="0" xfId="0" applyFont="1"/>
    <xf numFmtId="171" fontId="14" fillId="0" borderId="0" xfId="6" applyNumberFormat="1" applyFont="1" applyFill="1" applyBorder="1"/>
    <xf numFmtId="37" fontId="26" fillId="0" borderId="0" xfId="0" applyNumberFormat="1" applyFont="1"/>
    <xf numFmtId="37" fontId="8" fillId="0" borderId="29" xfId="1" applyNumberFormat="1" applyFont="1" applyFill="1" applyBorder="1"/>
    <xf numFmtId="37" fontId="8" fillId="0" borderId="30" xfId="1" applyNumberFormat="1" applyFont="1" applyFill="1" applyBorder="1"/>
    <xf numFmtId="0" fontId="8" fillId="0" borderId="31" xfId="0" applyFont="1" applyBorder="1"/>
    <xf numFmtId="0" fontId="26" fillId="0" borderId="37" xfId="0" applyFont="1" applyBorder="1"/>
    <xf numFmtId="0" fontId="26" fillId="0" borderId="38" xfId="0" applyFont="1" applyBorder="1"/>
    <xf numFmtId="0" fontId="14" fillId="0" borderId="37" xfId="0" applyFont="1" applyBorder="1"/>
    <xf numFmtId="0" fontId="26" fillId="0" borderId="39" xfId="0" applyFont="1" applyBorder="1"/>
    <xf numFmtId="0" fontId="26" fillId="0" borderId="40" xfId="0" applyFont="1" applyBorder="1"/>
    <xf numFmtId="0" fontId="26" fillId="0" borderId="41" xfId="0" applyFont="1" applyBorder="1"/>
    <xf numFmtId="0" fontId="14" fillId="0" borderId="45" xfId="0" applyFont="1" applyBorder="1" applyAlignment="1">
      <alignment horizontal="right"/>
    </xf>
    <xf numFmtId="0" fontId="9" fillId="0" borderId="33" xfId="0" applyFont="1" applyBorder="1"/>
    <xf numFmtId="0" fontId="9" fillId="0" borderId="48" xfId="0" applyFont="1" applyBorder="1"/>
    <xf numFmtId="0" fontId="9" fillId="0" borderId="46" xfId="0" applyFont="1" applyBorder="1"/>
    <xf numFmtId="0" fontId="14" fillId="0" borderId="49" xfId="0" applyFont="1" applyBorder="1" applyAlignment="1">
      <alignment horizontal="right"/>
    </xf>
    <xf numFmtId="0" fontId="9" fillId="0" borderId="38" xfId="0" applyFont="1" applyBorder="1"/>
    <xf numFmtId="0" fontId="14" fillId="0" borderId="50" xfId="0" applyFont="1" applyBorder="1"/>
    <xf numFmtId="37" fontId="26" fillId="0" borderId="0" xfId="1" applyNumberFormat="1" applyFont="1" applyBorder="1"/>
    <xf numFmtId="37" fontId="26" fillId="0" borderId="38" xfId="1" applyNumberFormat="1" applyFont="1" applyBorder="1"/>
    <xf numFmtId="0" fontId="14" fillId="0" borderId="51" xfId="0" applyFont="1" applyBorder="1"/>
    <xf numFmtId="38" fontId="26" fillId="0" borderId="37" xfId="1" applyNumberFormat="1" applyFont="1" applyBorder="1"/>
    <xf numFmtId="38" fontId="26" fillId="0" borderId="49" xfId="1" applyNumberFormat="1" applyFont="1" applyBorder="1"/>
    <xf numFmtId="37" fontId="26" fillId="0" borderId="52" xfId="1" applyNumberFormat="1" applyFont="1" applyBorder="1"/>
    <xf numFmtId="38" fontId="14" fillId="0" borderId="37" xfId="1" applyNumberFormat="1" applyFont="1" applyBorder="1"/>
    <xf numFmtId="37" fontId="14" fillId="0" borderId="0" xfId="1" applyNumberFormat="1" applyFont="1" applyBorder="1"/>
    <xf numFmtId="37" fontId="14" fillId="0" borderId="38" xfId="1" applyNumberFormat="1" applyFont="1" applyBorder="1"/>
    <xf numFmtId="0" fontId="14" fillId="0" borderId="39" xfId="0" applyFont="1" applyBorder="1"/>
    <xf numFmtId="37" fontId="14" fillId="0" borderId="40" xfId="1" applyNumberFormat="1" applyFont="1" applyBorder="1"/>
    <xf numFmtId="37" fontId="14" fillId="0" borderId="41" xfId="1" applyNumberFormat="1" applyFont="1" applyBorder="1"/>
    <xf numFmtId="0" fontId="14" fillId="9" borderId="34" xfId="0" applyFont="1" applyFill="1" applyBorder="1"/>
    <xf numFmtId="172" fontId="8" fillId="9" borderId="35" xfId="0" applyNumberFormat="1" applyFont="1" applyFill="1" applyBorder="1"/>
    <xf numFmtId="172" fontId="8" fillId="9" borderId="36" xfId="0" applyNumberFormat="1" applyFont="1" applyFill="1" applyBorder="1"/>
    <xf numFmtId="0" fontId="14" fillId="4" borderId="39" xfId="0" applyFont="1" applyFill="1" applyBorder="1"/>
    <xf numFmtId="172" fontId="8" fillId="4" borderId="40" xfId="0" applyNumberFormat="1" applyFont="1" applyFill="1" applyBorder="1"/>
    <xf numFmtId="0" fontId="14" fillId="4" borderId="28" xfId="0" applyFont="1" applyFill="1" applyBorder="1"/>
    <xf numFmtId="172" fontId="8" fillId="4" borderId="29" xfId="0" applyNumberFormat="1" applyFont="1" applyFill="1" applyBorder="1"/>
    <xf numFmtId="172" fontId="8" fillId="4" borderId="30" xfId="0" applyNumberFormat="1" applyFont="1" applyFill="1" applyBorder="1"/>
    <xf numFmtId="0" fontId="8" fillId="4" borderId="47" xfId="0" applyFont="1" applyFill="1" applyBorder="1"/>
    <xf numFmtId="37" fontId="14" fillId="0" borderId="29" xfId="1" applyNumberFormat="1" applyFont="1" applyBorder="1"/>
    <xf numFmtId="37" fontId="14" fillId="0" borderId="30" xfId="1" applyNumberFormat="1" applyFont="1" applyBorder="1"/>
    <xf numFmtId="37" fontId="26" fillId="0" borderId="13" xfId="1" applyNumberFormat="1" applyFont="1" applyBorder="1"/>
    <xf numFmtId="37" fontId="26" fillId="0" borderId="29" xfId="1" applyNumberFormat="1" applyFont="1" applyBorder="1"/>
    <xf numFmtId="37" fontId="26" fillId="6" borderId="0" xfId="1" applyNumberFormat="1" applyFont="1" applyFill="1"/>
    <xf numFmtId="165" fontId="14" fillId="0" borderId="19" xfId="1" applyNumberFormat="1" applyFont="1" applyBorder="1"/>
    <xf numFmtId="166" fontId="14" fillId="0" borderId="19" xfId="2" applyNumberFormat="1" applyFont="1" applyBorder="1"/>
    <xf numFmtId="38" fontId="14" fillId="0" borderId="19" xfId="1" applyNumberFormat="1" applyFont="1" applyBorder="1"/>
    <xf numFmtId="165" fontId="26" fillId="0" borderId="18" xfId="1" applyNumberFormat="1" applyFont="1" applyBorder="1"/>
    <xf numFmtId="166" fontId="26" fillId="0" borderId="18" xfId="1" applyNumberFormat="1" applyFont="1" applyBorder="1"/>
    <xf numFmtId="166" fontId="26" fillId="0" borderId="18" xfId="0" applyNumberFormat="1" applyFont="1" applyBorder="1"/>
    <xf numFmtId="167" fontId="26" fillId="0" borderId="18" xfId="1" applyNumberFormat="1" applyFont="1" applyBorder="1"/>
    <xf numFmtId="37" fontId="14" fillId="5" borderId="31" xfId="1" applyNumberFormat="1" applyFont="1" applyFill="1" applyBorder="1" applyAlignment="1">
      <alignment vertical="center"/>
    </xf>
    <xf numFmtId="37" fontId="26" fillId="0" borderId="18" xfId="1" applyNumberFormat="1" applyFont="1" applyBorder="1"/>
    <xf numFmtId="37" fontId="14" fillId="5" borderId="12" xfId="1" applyNumberFormat="1" applyFont="1" applyFill="1" applyBorder="1"/>
    <xf numFmtId="37" fontId="26" fillId="4" borderId="31" xfId="1" applyNumberFormat="1" applyFont="1" applyFill="1" applyBorder="1"/>
    <xf numFmtId="37" fontId="26" fillId="0" borderId="18" xfId="1" applyNumberFormat="1" applyFont="1" applyFill="1" applyBorder="1"/>
    <xf numFmtId="166" fontId="14" fillId="0" borderId="19" xfId="2" applyNumberFormat="1" applyFont="1" applyFill="1" applyBorder="1"/>
    <xf numFmtId="0" fontId="27" fillId="2" borderId="34" xfId="0" applyFont="1" applyFill="1" applyBorder="1"/>
    <xf numFmtId="0" fontId="27" fillId="2" borderId="53" xfId="0" applyFont="1" applyFill="1" applyBorder="1"/>
    <xf numFmtId="0" fontId="27" fillId="2" borderId="54" xfId="0" applyFont="1" applyFill="1" applyBorder="1"/>
    <xf numFmtId="0" fontId="27" fillId="2" borderId="36" xfId="0" applyFont="1" applyFill="1" applyBorder="1"/>
    <xf numFmtId="166" fontId="26" fillId="0" borderId="55" xfId="0" applyNumberFormat="1" applyFont="1" applyBorder="1"/>
    <xf numFmtId="0" fontId="14" fillId="0" borderId="56" xfId="2" applyFont="1" applyBorder="1"/>
    <xf numFmtId="165" fontId="14" fillId="0" borderId="57" xfId="1" applyNumberFormat="1" applyFont="1" applyBorder="1"/>
    <xf numFmtId="38" fontId="14" fillId="0" borderId="57" xfId="1" applyNumberFormat="1" applyFont="1" applyBorder="1"/>
    <xf numFmtId="0" fontId="14" fillId="5" borderId="58" xfId="0" applyFont="1" applyFill="1" applyBorder="1" applyAlignment="1">
      <alignment wrapText="1"/>
    </xf>
    <xf numFmtId="37" fontId="14" fillId="5" borderId="59" xfId="1" applyNumberFormat="1" applyFont="1" applyFill="1" applyBorder="1" applyAlignment="1">
      <alignment vertical="center"/>
    </xf>
    <xf numFmtId="37" fontId="26" fillId="0" borderId="55" xfId="1" applyNumberFormat="1" applyFont="1" applyBorder="1"/>
    <xf numFmtId="0" fontId="14" fillId="5" borderId="58" xfId="0" applyFont="1" applyFill="1" applyBorder="1"/>
    <xf numFmtId="37" fontId="14" fillId="5" borderId="59" xfId="1" applyNumberFormat="1" applyFont="1" applyFill="1" applyBorder="1"/>
    <xf numFmtId="0" fontId="14" fillId="0" borderId="37" xfId="4" applyFont="1" applyBorder="1"/>
    <xf numFmtId="0" fontId="14" fillId="4" borderId="58" xfId="4" applyFont="1" applyFill="1" applyBorder="1"/>
    <xf numFmtId="37" fontId="26" fillId="4" borderId="59" xfId="1" applyNumberFormat="1" applyFont="1" applyFill="1" applyBorder="1"/>
    <xf numFmtId="0" fontId="14" fillId="2" borderId="60" xfId="0" applyFont="1" applyFill="1" applyBorder="1"/>
    <xf numFmtId="38" fontId="14" fillId="2" borderId="61" xfId="1" applyNumberFormat="1" applyFont="1" applyFill="1" applyBorder="1"/>
    <xf numFmtId="165" fontId="14" fillId="2" borderId="61" xfId="1" applyNumberFormat="1" applyFont="1" applyFill="1" applyBorder="1"/>
    <xf numFmtId="38" fontId="14" fillId="2" borderId="62" xfId="1" applyNumberFormat="1" applyFont="1" applyFill="1" applyBorder="1"/>
    <xf numFmtId="0" fontId="25" fillId="0" borderId="0" xfId="0" applyFont="1"/>
    <xf numFmtId="0" fontId="33" fillId="0" borderId="31" xfId="0" applyFont="1" applyBorder="1" applyAlignment="1">
      <alignment vertical="top" wrapText="1"/>
    </xf>
    <xf numFmtId="0" fontId="31" fillId="0" borderId="0" xfId="0" applyFont="1"/>
    <xf numFmtId="0" fontId="31" fillId="0" borderId="0" xfId="0" applyFont="1" applyAlignment="1">
      <alignment vertical="center"/>
    </xf>
    <xf numFmtId="0" fontId="34" fillId="3" borderId="47" xfId="5" applyFont="1" applyFill="1" applyBorder="1"/>
    <xf numFmtId="0" fontId="0" fillId="3" borderId="29" xfId="0" applyFill="1" applyBorder="1"/>
    <xf numFmtId="0" fontId="0" fillId="3" borderId="30" xfId="0" applyFill="1" applyBorder="1"/>
    <xf numFmtId="0" fontId="34" fillId="0" borderId="0" xfId="5" applyFont="1" applyFill="1" applyBorder="1"/>
    <xf numFmtId="0" fontId="35" fillId="0" borderId="0" xfId="0" applyFont="1"/>
    <xf numFmtId="0" fontId="37" fillId="4" borderId="0" xfId="5" quotePrefix="1" applyFont="1" applyFill="1" applyBorder="1"/>
    <xf numFmtId="0" fontId="11" fillId="4" borderId="0" xfId="0" applyFont="1" applyFill="1" applyAlignment="1">
      <alignment horizontal="center" vertical="center"/>
    </xf>
    <xf numFmtId="0" fontId="10" fillId="4" borderId="0" xfId="0" applyFont="1" applyFill="1"/>
    <xf numFmtId="0" fontId="12" fillId="4" borderId="0" xfId="0" applyFont="1" applyFill="1" applyAlignment="1">
      <alignment horizontal="center"/>
    </xf>
    <xf numFmtId="0" fontId="36" fillId="4" borderId="0" xfId="0" applyFont="1" applyFill="1"/>
    <xf numFmtId="0" fontId="9" fillId="4" borderId="0" xfId="0" applyFont="1" applyFill="1"/>
    <xf numFmtId="0" fontId="37" fillId="4" borderId="0" xfId="5" applyFont="1" applyFill="1" applyBorder="1"/>
    <xf numFmtId="0" fontId="16" fillId="4" borderId="0" xfId="0" applyFont="1" applyFill="1"/>
    <xf numFmtId="164" fontId="26" fillId="0" borderId="13" xfId="1" applyFont="1" applyBorder="1"/>
    <xf numFmtId="173" fontId="14" fillId="8" borderId="47" xfId="6" applyNumberFormat="1" applyFont="1" applyFill="1" applyBorder="1"/>
    <xf numFmtId="38" fontId="26" fillId="3" borderId="37" xfId="1" applyNumberFormat="1" applyFont="1" applyFill="1" applyBorder="1"/>
    <xf numFmtId="0" fontId="38" fillId="3" borderId="0" xfId="0" applyFont="1" applyFill="1"/>
    <xf numFmtId="37" fontId="26" fillId="3" borderId="0" xfId="1" applyNumberFormat="1" applyFont="1" applyFill="1" applyBorder="1"/>
    <xf numFmtId="0" fontId="41" fillId="0" borderId="0" xfId="0" applyFont="1" applyAlignment="1">
      <alignment vertical="center"/>
    </xf>
    <xf numFmtId="0" fontId="42" fillId="0" borderId="0" xfId="0" applyFont="1" applyAlignment="1">
      <alignment vertical="center"/>
    </xf>
    <xf numFmtId="0" fontId="0" fillId="0" borderId="0" xfId="0" applyAlignment="1">
      <alignment vertical="center"/>
    </xf>
    <xf numFmtId="0" fontId="6" fillId="0" borderId="0" xfId="5" applyAlignment="1">
      <alignment vertical="center"/>
    </xf>
    <xf numFmtId="0" fontId="43" fillId="0" borderId="0" xfId="0" applyFont="1" applyAlignment="1">
      <alignment vertical="center"/>
    </xf>
    <xf numFmtId="0" fontId="44" fillId="0" borderId="0" xfId="0" applyFont="1"/>
    <xf numFmtId="0" fontId="45" fillId="3" borderId="47" xfId="5" applyFont="1" applyFill="1" applyBorder="1"/>
    <xf numFmtId="0" fontId="26" fillId="0" borderId="12" xfId="0" applyFont="1" applyBorder="1" applyAlignment="1">
      <alignment horizontal="right"/>
    </xf>
    <xf numFmtId="0" fontId="31" fillId="0" borderId="13" xfId="0" applyFont="1" applyBorder="1" applyAlignment="1">
      <alignment horizontal="right"/>
    </xf>
    <xf numFmtId="0" fontId="31" fillId="0" borderId="14" xfId="0" applyFont="1" applyBorder="1" applyAlignment="1">
      <alignment horizontal="right"/>
    </xf>
    <xf numFmtId="0" fontId="46" fillId="0" borderId="1" xfId="0" applyFont="1" applyBorder="1"/>
    <xf numFmtId="0" fontId="47" fillId="3" borderId="1" xfId="0" applyFont="1" applyFill="1" applyBorder="1" applyAlignment="1">
      <alignment horizontal="center" vertical="center"/>
    </xf>
    <xf numFmtId="0" fontId="26" fillId="0" borderId="1" xfId="0" applyFont="1" applyBorder="1"/>
    <xf numFmtId="0" fontId="14" fillId="0" borderId="1" xfId="0" applyFont="1" applyBorder="1" applyAlignment="1">
      <alignment horizontal="right"/>
    </xf>
    <xf numFmtId="0" fontId="27" fillId="2" borderId="5" xfId="0" applyFont="1" applyFill="1" applyBorder="1"/>
    <xf numFmtId="0" fontId="27" fillId="2" borderId="17" xfId="0" applyFont="1" applyFill="1" applyBorder="1"/>
    <xf numFmtId="0" fontId="27" fillId="2" borderId="7" xfId="0" applyFont="1" applyFill="1" applyBorder="1"/>
    <xf numFmtId="0" fontId="26" fillId="0" borderId="8" xfId="0" applyFont="1" applyBorder="1"/>
    <xf numFmtId="0" fontId="14" fillId="0" borderId="15" xfId="2" applyFont="1" applyBorder="1"/>
    <xf numFmtId="164" fontId="26" fillId="0" borderId="18" xfId="1" applyFont="1" applyBorder="1"/>
    <xf numFmtId="0" fontId="14" fillId="0" borderId="16" xfId="4" applyFont="1" applyBorder="1"/>
    <xf numFmtId="166" fontId="35" fillId="0" borderId="20" xfId="4" applyNumberFormat="1" applyFont="1" applyBorder="1"/>
    <xf numFmtId="166" fontId="26" fillId="0" borderId="8" xfId="0" applyNumberFormat="1" applyFont="1" applyBorder="1"/>
    <xf numFmtId="164" fontId="26" fillId="0" borderId="27" xfId="1" applyFont="1" applyBorder="1"/>
    <xf numFmtId="165" fontId="14" fillId="0" borderId="18" xfId="1" applyNumberFormat="1" applyFont="1" applyBorder="1"/>
    <xf numFmtId="166" fontId="26" fillId="4" borderId="31" xfId="0" applyNumberFormat="1" applyFont="1" applyFill="1" applyBorder="1"/>
    <xf numFmtId="164" fontId="26" fillId="4" borderId="31" xfId="1" applyFont="1" applyFill="1" applyBorder="1"/>
    <xf numFmtId="0" fontId="14" fillId="2" borderId="23" xfId="0" applyFont="1" applyFill="1" applyBorder="1"/>
    <xf numFmtId="38" fontId="14" fillId="2" borderId="25" xfId="1" applyNumberFormat="1" applyFont="1" applyFill="1" applyBorder="1"/>
    <xf numFmtId="165" fontId="14" fillId="2" borderId="25" xfId="1" applyNumberFormat="1" applyFont="1" applyFill="1" applyBorder="1"/>
    <xf numFmtId="0" fontId="29" fillId="0" borderId="10" xfId="4" applyFont="1" applyBorder="1"/>
    <xf numFmtId="165" fontId="29" fillId="3" borderId="21" xfId="1" applyNumberFormat="1" applyFont="1" applyFill="1" applyBorder="1"/>
    <xf numFmtId="0" fontId="29" fillId="0" borderId="0" xfId="4" applyFont="1" applyBorder="1"/>
    <xf numFmtId="0" fontId="48" fillId="0" borderId="8" xfId="0" applyFont="1" applyBorder="1"/>
    <xf numFmtId="0" fontId="27" fillId="0" borderId="18" xfId="0" applyFont="1" applyBorder="1"/>
    <xf numFmtId="0" fontId="27" fillId="0" borderId="9" xfId="0" applyFont="1" applyBorder="1"/>
    <xf numFmtId="167" fontId="14" fillId="0" borderId="19" xfId="2" applyNumberFormat="1" applyFont="1" applyBorder="1"/>
    <xf numFmtId="166" fontId="49" fillId="0" borderId="18" xfId="0" applyNumberFormat="1" applyFont="1" applyBorder="1"/>
    <xf numFmtId="167" fontId="26" fillId="0" borderId="18" xfId="1" applyNumberFormat="1" applyFont="1" applyFill="1" applyBorder="1"/>
    <xf numFmtId="0" fontId="26" fillId="0" borderId="5" xfId="0" applyFont="1" applyBorder="1"/>
    <xf numFmtId="0" fontId="26" fillId="0" borderId="17" xfId="0" applyFont="1" applyBorder="1"/>
    <xf numFmtId="0" fontId="14" fillId="2" borderId="22" xfId="3" applyFont="1" applyFill="1" applyBorder="1"/>
    <xf numFmtId="167" fontId="14" fillId="2" borderId="24" xfId="3" applyNumberFormat="1" applyFont="1" applyFill="1" applyBorder="1"/>
    <xf numFmtId="0" fontId="28" fillId="0" borderId="8" xfId="0" applyFont="1" applyBorder="1"/>
    <xf numFmtId="167" fontId="49" fillId="0" borderId="18" xfId="1" applyNumberFormat="1" applyFont="1" applyBorder="1"/>
    <xf numFmtId="167" fontId="26" fillId="5" borderId="18" xfId="1" applyNumberFormat="1" applyFont="1" applyFill="1" applyBorder="1"/>
    <xf numFmtId="167" fontId="35" fillId="0" borderId="18" xfId="1" applyNumberFormat="1" applyFont="1" applyBorder="1"/>
    <xf numFmtId="0" fontId="26" fillId="0" borderId="18" xfId="0" applyFont="1" applyBorder="1"/>
    <xf numFmtId="0" fontId="14" fillId="2" borderId="23" xfId="3" applyFont="1" applyFill="1" applyBorder="1"/>
    <xf numFmtId="167" fontId="14" fillId="2" borderId="25" xfId="3" applyNumberFormat="1" applyFont="1" applyFill="1" applyBorder="1"/>
    <xf numFmtId="0" fontId="26" fillId="0" borderId="26" xfId="0" applyFont="1" applyBorder="1"/>
    <xf numFmtId="0" fontId="26" fillId="0" borderId="27" xfId="0" applyFont="1" applyBorder="1"/>
    <xf numFmtId="0" fontId="46" fillId="0" borderId="10" xfId="3" applyFont="1" applyFill="1" applyBorder="1"/>
    <xf numFmtId="165" fontId="50" fillId="0" borderId="21" xfId="1" applyNumberFormat="1" applyFont="1" applyFill="1" applyBorder="1"/>
    <xf numFmtId="167" fontId="26" fillId="0" borderId="0" xfId="0" applyNumberFormat="1" applyFont="1"/>
    <xf numFmtId="0" fontId="26" fillId="0" borderId="0" xfId="0" applyFont="1" applyAlignment="1">
      <alignment horizontal="right"/>
    </xf>
    <xf numFmtId="0" fontId="27" fillId="0" borderId="0" xfId="0" applyFont="1" applyAlignment="1">
      <alignment horizontal="center"/>
    </xf>
    <xf numFmtId="0" fontId="14" fillId="0" borderId="32" xfId="0" applyFont="1" applyBorder="1"/>
    <xf numFmtId="0" fontId="26" fillId="0" borderId="33" xfId="0" applyFont="1" applyBorder="1"/>
    <xf numFmtId="0" fontId="27" fillId="2" borderId="13" xfId="0" applyFont="1" applyFill="1" applyBorder="1"/>
    <xf numFmtId="0" fontId="27" fillId="2" borderId="14" xfId="0" applyFont="1" applyFill="1" applyBorder="1" applyAlignment="1">
      <alignment horizontal="right"/>
    </xf>
    <xf numFmtId="0" fontId="27" fillId="2" borderId="31" xfId="0" applyFont="1" applyFill="1" applyBorder="1"/>
    <xf numFmtId="0" fontId="28" fillId="0" borderId="0" xfId="0" applyFont="1"/>
    <xf numFmtId="0" fontId="14" fillId="0" borderId="0" xfId="0" applyFont="1" applyAlignment="1">
      <alignment horizontal="center"/>
    </xf>
    <xf numFmtId="10" fontId="26" fillId="0" borderId="0" xfId="0" applyNumberFormat="1" applyFont="1" applyAlignment="1">
      <alignment horizontal="right"/>
    </xf>
    <xf numFmtId="0" fontId="26" fillId="0" borderId="0" xfId="0" applyFont="1" applyAlignment="1">
      <alignment vertical="top"/>
    </xf>
    <xf numFmtId="9" fontId="26" fillId="0" borderId="0" xfId="6" applyFont="1" applyAlignment="1">
      <alignment horizontal="right"/>
    </xf>
    <xf numFmtId="0" fontId="14" fillId="0" borderId="4" xfId="3" applyFont="1"/>
    <xf numFmtId="0" fontId="14" fillId="0" borderId="4" xfId="3" applyFont="1" applyAlignment="1">
      <alignment horizontal="right"/>
    </xf>
    <xf numFmtId="169" fontId="26" fillId="0" borderId="0" xfId="0" applyNumberFormat="1" applyFont="1" applyAlignment="1">
      <alignment horizontal="right"/>
    </xf>
    <xf numFmtId="164" fontId="26" fillId="0" borderId="0" xfId="0" applyNumberFormat="1" applyFont="1"/>
    <xf numFmtId="2" fontId="26" fillId="0" borderId="0" xfId="0" applyNumberFormat="1" applyFont="1"/>
    <xf numFmtId="170" fontId="26" fillId="0" borderId="0" xfId="0" applyNumberFormat="1" applyFont="1" applyAlignment="1">
      <alignment horizontal="right"/>
    </xf>
    <xf numFmtId="9" fontId="26" fillId="0" borderId="0" xfId="0" applyNumberFormat="1" applyFont="1" applyAlignment="1">
      <alignment horizontal="right"/>
    </xf>
    <xf numFmtId="0" fontId="14" fillId="0" borderId="5" xfId="0" applyFont="1" applyBorder="1"/>
    <xf numFmtId="0" fontId="26" fillId="0" borderId="6" xfId="0" applyFont="1" applyBorder="1" applyAlignment="1">
      <alignment horizontal="right"/>
    </xf>
    <xf numFmtId="0" fontId="26" fillId="0" borderId="7" xfId="0" applyFont="1" applyBorder="1" applyAlignment="1">
      <alignment horizontal="right"/>
    </xf>
    <xf numFmtId="0" fontId="14" fillId="0" borderId="10" xfId="0" applyFont="1" applyBorder="1"/>
    <xf numFmtId="0" fontId="26" fillId="0" borderId="1" xfId="0" applyFont="1" applyBorder="1" applyAlignment="1">
      <alignment horizontal="right"/>
    </xf>
    <xf numFmtId="0" fontId="26" fillId="0" borderId="11" xfId="0" applyFont="1" applyBorder="1" applyAlignment="1">
      <alignment horizontal="right"/>
    </xf>
    <xf numFmtId="0" fontId="14" fillId="0" borderId="0" xfId="0" applyFont="1" applyAlignment="1">
      <alignment horizontal="center" wrapText="1"/>
    </xf>
    <xf numFmtId="0" fontId="14" fillId="0" borderId="0" xfId="0" applyFont="1" applyAlignment="1">
      <alignment horizontal="center" vertical="center" wrapText="1"/>
    </xf>
    <xf numFmtId="0" fontId="26" fillId="0" borderId="9" xfId="0" applyFont="1" applyBorder="1"/>
    <xf numFmtId="0" fontId="26" fillId="0" borderId="10" xfId="0" applyFont="1" applyBorder="1"/>
    <xf numFmtId="0" fontId="26" fillId="0" borderId="11" xfId="0" applyFont="1" applyBorder="1"/>
    <xf numFmtId="0" fontId="14" fillId="5" borderId="30" xfId="0" applyFont="1" applyFill="1" applyBorder="1" applyAlignment="1">
      <alignment horizontal="center"/>
    </xf>
    <xf numFmtId="0" fontId="22" fillId="0" borderId="63" xfId="0" applyFont="1" applyBorder="1" applyAlignment="1">
      <alignment vertical="top" wrapText="1"/>
    </xf>
    <xf numFmtId="0" fontId="32" fillId="0" borderId="31" xfId="0" applyFont="1" applyBorder="1" applyAlignment="1">
      <alignment vertical="top" wrapText="1"/>
    </xf>
    <xf numFmtId="0" fontId="54" fillId="0" borderId="0" xfId="0" applyFont="1"/>
    <xf numFmtId="0" fontId="55" fillId="0" borderId="0" xfId="0" applyFont="1"/>
    <xf numFmtId="167" fontId="26" fillId="0" borderId="0" xfId="1" applyNumberFormat="1" applyFont="1" applyBorder="1"/>
    <xf numFmtId="167" fontId="5" fillId="0" borderId="30" xfId="0" applyNumberFormat="1" applyFont="1" applyBorder="1"/>
    <xf numFmtId="167" fontId="14" fillId="0" borderId="30" xfId="1" applyNumberFormat="1" applyFont="1" applyBorder="1"/>
    <xf numFmtId="174" fontId="55" fillId="3" borderId="47" xfId="0" applyNumberFormat="1" applyFont="1" applyFill="1" applyBorder="1"/>
    <xf numFmtId="174" fontId="55" fillId="0" borderId="0" xfId="0" applyNumberFormat="1" applyFont="1"/>
    <xf numFmtId="174" fontId="0" fillId="0" borderId="0" xfId="0" applyNumberFormat="1"/>
    <xf numFmtId="174" fontId="5" fillId="3" borderId="47" xfId="0" applyNumberFormat="1" applyFont="1" applyFill="1" applyBorder="1"/>
    <xf numFmtId="0" fontId="5" fillId="0" borderId="0" xfId="0" applyFont="1" applyAlignment="1">
      <alignment horizontal="right"/>
    </xf>
    <xf numFmtId="174" fontId="56" fillId="0" borderId="0" xfId="0" applyNumberFormat="1" applyFont="1"/>
    <xf numFmtId="0" fontId="5" fillId="0" borderId="47" xfId="0" applyFont="1" applyBorder="1"/>
    <xf numFmtId="0" fontId="5" fillId="0" borderId="64" xfId="0" applyFont="1" applyBorder="1"/>
    <xf numFmtId="0" fontId="0" fillId="0" borderId="29" xfId="0" applyBorder="1"/>
    <xf numFmtId="0" fontId="5" fillId="3" borderId="28" xfId="0" applyFont="1" applyFill="1" applyBorder="1"/>
    <xf numFmtId="0" fontId="5" fillId="3" borderId="30" xfId="0" applyFont="1" applyFill="1" applyBorder="1"/>
    <xf numFmtId="0" fontId="0" fillId="0" borderId="37" xfId="0" applyBorder="1"/>
    <xf numFmtId="0" fontId="0" fillId="0" borderId="38" xfId="0" applyBorder="1"/>
    <xf numFmtId="0" fontId="58" fillId="0" borderId="0" xfId="0" applyFont="1"/>
    <xf numFmtId="174" fontId="0" fillId="0" borderId="38" xfId="0" applyNumberFormat="1" applyBorder="1"/>
    <xf numFmtId="0" fontId="0" fillId="0" borderId="39" xfId="0" applyBorder="1"/>
    <xf numFmtId="0" fontId="0" fillId="0" borderId="40" xfId="0" applyBorder="1"/>
    <xf numFmtId="0" fontId="0" fillId="0" borderId="41" xfId="0" applyBorder="1"/>
    <xf numFmtId="0" fontId="5" fillId="0" borderId="37" xfId="0" applyFont="1" applyBorder="1"/>
    <xf numFmtId="174" fontId="56" fillId="0" borderId="38" xfId="0" applyNumberFormat="1" applyFont="1" applyBorder="1"/>
    <xf numFmtId="0" fontId="6" fillId="0" borderId="0" xfId="5" applyBorder="1"/>
    <xf numFmtId="0" fontId="53" fillId="0" borderId="0" xfId="0" applyFont="1"/>
    <xf numFmtId="0" fontId="54" fillId="0" borderId="40" xfId="0" applyFont="1" applyBorder="1"/>
    <xf numFmtId="174" fontId="59" fillId="3" borderId="47" xfId="0" applyNumberFormat="1" applyFont="1" applyFill="1" applyBorder="1"/>
    <xf numFmtId="0" fontId="57" fillId="3" borderId="28" xfId="0" applyFont="1" applyFill="1" applyBorder="1"/>
    <xf numFmtId="174" fontId="60" fillId="3" borderId="47" xfId="0" applyNumberFormat="1" applyFont="1" applyFill="1" applyBorder="1"/>
    <xf numFmtId="0" fontId="55" fillId="3" borderId="28" xfId="0" applyFont="1" applyFill="1" applyBorder="1"/>
    <xf numFmtId="0" fontId="55" fillId="3" borderId="30" xfId="0" applyFont="1" applyFill="1" applyBorder="1"/>
    <xf numFmtId="0" fontId="55" fillId="3" borderId="47" xfId="0" applyFont="1" applyFill="1" applyBorder="1"/>
    <xf numFmtId="167" fontId="26" fillId="0" borderId="0" xfId="1" applyNumberFormat="1" applyFont="1" applyFill="1" applyBorder="1"/>
    <xf numFmtId="0" fontId="14" fillId="0" borderId="0" xfId="2" applyFont="1" applyFill="1" applyBorder="1"/>
    <xf numFmtId="167" fontId="14" fillId="0" borderId="0" xfId="2" applyNumberFormat="1" applyFont="1" applyFill="1" applyBorder="1"/>
    <xf numFmtId="0" fontId="19" fillId="0" borderId="0" xfId="0" applyFont="1" applyAlignment="1">
      <alignment vertical="center" wrapText="1"/>
    </xf>
    <xf numFmtId="0" fontId="30" fillId="0" borderId="0" xfId="0" applyFont="1" applyAlignment="1">
      <alignment horizontal="right"/>
    </xf>
    <xf numFmtId="174" fontId="30" fillId="0" borderId="0" xfId="0" applyNumberFormat="1" applyFont="1" applyAlignment="1">
      <alignment horizontal="right"/>
    </xf>
    <xf numFmtId="167" fontId="14" fillId="0" borderId="0" xfId="1" applyNumberFormat="1" applyFont="1" applyFill="1" applyBorder="1"/>
    <xf numFmtId="0" fontId="52" fillId="0" borderId="0" xfId="0" applyFont="1"/>
    <xf numFmtId="167" fontId="5" fillId="0" borderId="0" xfId="0" applyNumberFormat="1" applyFont="1"/>
    <xf numFmtId="2" fontId="0" fillId="0" borderId="38" xfId="6" applyNumberFormat="1" applyFont="1" applyBorder="1"/>
    <xf numFmtId="167" fontId="14" fillId="9" borderId="30" xfId="1" applyNumberFormat="1" applyFont="1" applyFill="1" applyBorder="1"/>
    <xf numFmtId="0" fontId="62" fillId="0" borderId="12" xfId="0" applyFont="1" applyBorder="1"/>
    <xf numFmtId="0" fontId="59" fillId="0" borderId="13" xfId="0" applyFont="1" applyBorder="1" applyAlignment="1">
      <alignment horizontal="left"/>
    </xf>
    <xf numFmtId="167" fontId="59" fillId="0" borderId="13" xfId="1" applyNumberFormat="1" applyFont="1" applyBorder="1"/>
    <xf numFmtId="0" fontId="59" fillId="0" borderId="13" xfId="0" applyFont="1" applyBorder="1"/>
    <xf numFmtId="0" fontId="59" fillId="0" borderId="14" xfId="0" applyFont="1" applyBorder="1"/>
    <xf numFmtId="0" fontId="0" fillId="0" borderId="0" xfId="0" applyAlignment="1">
      <alignment horizontal="center"/>
    </xf>
    <xf numFmtId="0" fontId="0" fillId="0" borderId="0" xfId="0" applyAlignment="1">
      <alignment horizontal="left"/>
    </xf>
    <xf numFmtId="167" fontId="0" fillId="0" borderId="0" xfId="1" applyNumberFormat="1" applyFont="1"/>
    <xf numFmtId="0" fontId="63" fillId="0" borderId="0" xfId="0" applyFont="1"/>
    <xf numFmtId="0" fontId="63" fillId="0" borderId="0" xfId="0" applyFont="1" applyAlignment="1">
      <alignment horizontal="left"/>
    </xf>
    <xf numFmtId="0" fontId="64" fillId="0" borderId="0" xfId="0" applyFont="1"/>
    <xf numFmtId="0" fontId="64" fillId="0" borderId="0" xfId="0" applyFont="1" applyAlignment="1">
      <alignment horizontal="left"/>
    </xf>
    <xf numFmtId="167" fontId="64" fillId="0" borderId="0" xfId="1" applyNumberFormat="1" applyFont="1"/>
    <xf numFmtId="0" fontId="0" fillId="0" borderId="12" xfId="0" applyBorder="1"/>
    <xf numFmtId="0" fontId="0" fillId="0" borderId="13" xfId="0" applyBorder="1"/>
    <xf numFmtId="0" fontId="0" fillId="0" borderId="14" xfId="0" applyBorder="1" applyAlignment="1">
      <alignment horizontal="right"/>
    </xf>
    <xf numFmtId="2" fontId="0" fillId="3" borderId="65" xfId="6" applyNumberFormat="1" applyFont="1" applyFill="1" applyBorder="1"/>
    <xf numFmtId="2" fontId="0" fillId="0" borderId="0" xfId="0" applyNumberFormat="1"/>
    <xf numFmtId="164" fontId="0" fillId="0" borderId="0" xfId="1" applyFont="1" applyFill="1" applyBorder="1" applyAlignment="1">
      <alignment horizontal="left"/>
    </xf>
    <xf numFmtId="0" fontId="0" fillId="0" borderId="0" xfId="0" applyAlignment="1">
      <alignment horizontal="right"/>
    </xf>
    <xf numFmtId="0" fontId="0" fillId="0" borderId="1" xfId="0" applyBorder="1"/>
    <xf numFmtId="0" fontId="0" fillId="0" borderId="34" xfId="0" applyBorder="1" applyAlignment="1">
      <alignment horizontal="left"/>
    </xf>
    <xf numFmtId="167" fontId="0" fillId="0" borderId="36" xfId="1" applyNumberFormat="1" applyFont="1" applyBorder="1"/>
    <xf numFmtId="0" fontId="63" fillId="0" borderId="12" xfId="0" applyFont="1" applyBorder="1" applyAlignment="1">
      <alignment horizontal="left"/>
    </xf>
    <xf numFmtId="167" fontId="63" fillId="0" borderId="13" xfId="1" applyNumberFormat="1" applyFont="1" applyBorder="1"/>
    <xf numFmtId="0" fontId="63" fillId="0" borderId="13" xfId="0" applyFont="1" applyBorder="1"/>
    <xf numFmtId="0" fontId="63" fillId="0" borderId="14" xfId="0" applyFont="1" applyBorder="1"/>
    <xf numFmtId="0" fontId="63" fillId="0" borderId="12" xfId="0" applyFont="1" applyBorder="1" applyAlignment="1">
      <alignment horizontal="center"/>
    </xf>
    <xf numFmtId="0" fontId="63" fillId="0" borderId="13" xfId="0" applyFont="1" applyBorder="1" applyAlignment="1">
      <alignment horizontal="left"/>
    </xf>
    <xf numFmtId="0" fontId="63" fillId="0" borderId="14" xfId="0" applyFont="1" applyBorder="1" applyAlignment="1">
      <alignment horizontal="left"/>
    </xf>
    <xf numFmtId="167" fontId="61" fillId="0" borderId="0" xfId="1" applyNumberFormat="1" applyFont="1"/>
    <xf numFmtId="167" fontId="0" fillId="0" borderId="0" xfId="0" applyNumberFormat="1"/>
    <xf numFmtId="167" fontId="0" fillId="0" borderId="0" xfId="1" applyNumberFormat="1" applyFont="1" applyFill="1" applyBorder="1" applyAlignment="1">
      <alignment horizontal="left"/>
    </xf>
    <xf numFmtId="2" fontId="0" fillId="0" borderId="0" xfId="0" applyNumberFormat="1" applyAlignment="1">
      <alignment horizontal="center"/>
    </xf>
    <xf numFmtId="167" fontId="0" fillId="0" borderId="31" xfId="0" applyNumberFormat="1" applyBorder="1"/>
    <xf numFmtId="0" fontId="0" fillId="0" borderId="12" xfId="0" applyBorder="1" applyAlignment="1">
      <alignment horizontal="left"/>
    </xf>
    <xf numFmtId="167" fontId="0" fillId="0" borderId="14" xfId="1" applyNumberFormat="1" applyFont="1" applyFill="1" applyBorder="1" applyAlignment="1">
      <alignment horizontal="left"/>
    </xf>
    <xf numFmtId="0" fontId="0" fillId="10" borderId="12" xfId="0" applyFill="1" applyBorder="1"/>
    <xf numFmtId="167" fontId="0" fillId="10" borderId="14" xfId="0" applyNumberFormat="1" applyFill="1" applyBorder="1"/>
    <xf numFmtId="0" fontId="65" fillId="0" borderId="0" xfId="0" applyFont="1" applyAlignment="1">
      <alignment horizontal="left"/>
    </xf>
    <xf numFmtId="0" fontId="59" fillId="0" borderId="0" xfId="0" applyFont="1" applyAlignment="1">
      <alignment horizontal="right"/>
    </xf>
    <xf numFmtId="0" fontId="59" fillId="0" borderId="0" xfId="0" applyFont="1" applyAlignment="1">
      <alignment horizontal="left"/>
    </xf>
    <xf numFmtId="0" fontId="63" fillId="0" borderId="0" xfId="0" applyFont="1" applyAlignment="1">
      <alignment horizontal="right"/>
    </xf>
    <xf numFmtId="166" fontId="27" fillId="0" borderId="20" xfId="4" applyNumberFormat="1" applyFont="1" applyBorder="1"/>
    <xf numFmtId="0" fontId="14" fillId="0" borderId="31" xfId="0" applyFont="1" applyBorder="1" applyAlignment="1">
      <alignment horizontal="center"/>
    </xf>
    <xf numFmtId="0" fontId="14" fillId="0" borderId="31" xfId="0" applyFont="1" applyBorder="1" applyAlignment="1">
      <alignment horizontal="left"/>
    </xf>
    <xf numFmtId="2" fontId="26" fillId="0" borderId="31" xfId="0" applyNumberFormat="1" applyFont="1" applyBorder="1" applyAlignment="1">
      <alignment horizontal="right"/>
    </xf>
    <xf numFmtId="0" fontId="26" fillId="0" borderId="31" xfId="0" applyFont="1" applyBorder="1" applyAlignment="1">
      <alignment horizontal="left"/>
    </xf>
    <xf numFmtId="0" fontId="14" fillId="0" borderId="31" xfId="0" applyFont="1" applyBorder="1"/>
    <xf numFmtId="10" fontId="26" fillId="0" borderId="31" xfId="0" applyNumberFormat="1" applyFont="1" applyBorder="1" applyAlignment="1">
      <alignment horizontal="right"/>
    </xf>
    <xf numFmtId="10" fontId="26" fillId="6" borderId="31" xfId="0" applyNumberFormat="1" applyFont="1" applyFill="1" applyBorder="1" applyAlignment="1">
      <alignment horizontal="right"/>
    </xf>
    <xf numFmtId="0" fontId="26" fillId="0" borderId="31" xfId="0" applyFont="1" applyBorder="1"/>
    <xf numFmtId="10" fontId="51" fillId="0" borderId="31" xfId="0" applyNumberFormat="1" applyFont="1" applyBorder="1" applyAlignment="1">
      <alignment horizontal="right"/>
    </xf>
    <xf numFmtId="0" fontId="14" fillId="0" borderId="31" xfId="0" applyFont="1" applyBorder="1" applyAlignment="1">
      <alignment horizontal="center" vertical="top"/>
    </xf>
    <xf numFmtId="0" fontId="14" fillId="0" borderId="31" xfId="0" applyFont="1" applyBorder="1" applyAlignment="1">
      <alignment vertical="top" wrapText="1"/>
    </xf>
    <xf numFmtId="2" fontId="26" fillId="0" borderId="31" xfId="0" applyNumberFormat="1" applyFont="1" applyBorder="1" applyAlignment="1">
      <alignment horizontal="right" vertical="top"/>
    </xf>
    <xf numFmtId="2" fontId="51" fillId="0" borderId="31" xfId="0" applyNumberFormat="1" applyFont="1" applyBorder="1" applyAlignment="1">
      <alignment horizontal="right" vertical="top"/>
    </xf>
    <xf numFmtId="2" fontId="35" fillId="0" borderId="31" xfId="0" applyNumberFormat="1" applyFont="1" applyBorder="1" applyAlignment="1">
      <alignment horizontal="right" vertical="top"/>
    </xf>
    <xf numFmtId="2" fontId="35" fillId="6" borderId="31" xfId="0" applyNumberFormat="1" applyFont="1" applyFill="1" applyBorder="1" applyAlignment="1">
      <alignment horizontal="right" vertical="top"/>
    </xf>
    <xf numFmtId="0" fontId="26" fillId="0" borderId="31" xfId="0" applyFont="1" applyBorder="1" applyAlignment="1">
      <alignment vertical="top"/>
    </xf>
    <xf numFmtId="1" fontId="26" fillId="0" borderId="31" xfId="0" applyNumberFormat="1" applyFont="1" applyBorder="1" applyAlignment="1">
      <alignment horizontal="right"/>
    </xf>
    <xf numFmtId="1" fontId="26" fillId="6" borderId="31" xfId="0" applyNumberFormat="1" applyFont="1" applyFill="1" applyBorder="1" applyAlignment="1">
      <alignment horizontal="right"/>
    </xf>
    <xf numFmtId="38" fontId="26" fillId="0" borderId="31" xfId="1" applyNumberFormat="1" applyFont="1" applyBorder="1" applyAlignment="1">
      <alignment horizontal="right"/>
    </xf>
    <xf numFmtId="165" fontId="26" fillId="0" borderId="31" xfId="1" applyNumberFormat="1" applyFont="1" applyBorder="1" applyAlignment="1">
      <alignment horizontal="right"/>
    </xf>
    <xf numFmtId="168" fontId="26" fillId="0" borderId="31" xfId="1" applyNumberFormat="1" applyFont="1" applyBorder="1" applyAlignment="1">
      <alignment horizontal="right"/>
    </xf>
    <xf numFmtId="170" fontId="26" fillId="0" borderId="31" xfId="1" applyNumberFormat="1" applyFont="1" applyFill="1" applyBorder="1" applyAlignment="1">
      <alignment horizontal="right"/>
    </xf>
    <xf numFmtId="170" fontId="26" fillId="6" borderId="31" xfId="1" applyNumberFormat="1" applyFont="1" applyFill="1" applyBorder="1" applyAlignment="1">
      <alignment horizontal="right"/>
    </xf>
    <xf numFmtId="9" fontId="26" fillId="0" borderId="31" xfId="6" applyFont="1" applyBorder="1" applyAlignment="1">
      <alignment horizontal="right"/>
    </xf>
    <xf numFmtId="9" fontId="26" fillId="0" borderId="31" xfId="6" applyFont="1" applyFill="1" applyBorder="1" applyAlignment="1">
      <alignment horizontal="right"/>
    </xf>
    <xf numFmtId="9" fontId="26" fillId="6" borderId="31" xfId="6" applyFont="1" applyFill="1" applyBorder="1" applyAlignment="1">
      <alignment horizontal="right"/>
    </xf>
    <xf numFmtId="164" fontId="26" fillId="0" borderId="31" xfId="1" applyFont="1" applyBorder="1" applyAlignment="1">
      <alignment horizontal="right"/>
    </xf>
    <xf numFmtId="164" fontId="26" fillId="0" borderId="31" xfId="1" applyFont="1" applyFill="1" applyBorder="1" applyAlignment="1">
      <alignment horizontal="right"/>
    </xf>
    <xf numFmtId="164" fontId="26" fillId="6" borderId="31" xfId="1" applyFont="1" applyFill="1" applyBorder="1" applyAlignment="1">
      <alignment horizontal="right"/>
    </xf>
    <xf numFmtId="0" fontId="14" fillId="0" borderId="0" xfId="0" applyFont="1" applyAlignment="1">
      <alignment horizontal="left"/>
    </xf>
    <xf numFmtId="2" fontId="26" fillId="0" borderId="0" xfId="0" applyNumberFormat="1" applyFont="1" applyAlignment="1">
      <alignment horizontal="right"/>
    </xf>
    <xf numFmtId="2" fontId="35" fillId="0" borderId="0" xfId="0" applyNumberFormat="1" applyFont="1" applyAlignment="1">
      <alignment horizontal="right"/>
    </xf>
    <xf numFmtId="0" fontId="26" fillId="0" borderId="0" xfId="0" applyFont="1" applyAlignment="1">
      <alignment horizontal="left"/>
    </xf>
    <xf numFmtId="0" fontId="17" fillId="4" borderId="0" xfId="0" applyFont="1" applyFill="1"/>
    <xf numFmtId="0" fontId="55" fillId="3" borderId="0" xfId="0" applyFont="1" applyFill="1"/>
    <xf numFmtId="38" fontId="9" fillId="2" borderId="12" xfId="1" applyNumberFormat="1" applyFont="1" applyFill="1" applyBorder="1"/>
    <xf numFmtId="0" fontId="9" fillId="2" borderId="31" xfId="1" applyNumberFormat="1" applyFont="1" applyFill="1" applyBorder="1"/>
    <xf numFmtId="0" fontId="9" fillId="2" borderId="14" xfId="1" applyNumberFormat="1" applyFont="1" applyFill="1" applyBorder="1"/>
    <xf numFmtId="37" fontId="14" fillId="0" borderId="14" xfId="1" applyNumberFormat="1" applyFont="1" applyBorder="1"/>
    <xf numFmtId="0" fontId="26" fillId="0" borderId="34" xfId="0" applyFont="1" applyBorder="1"/>
    <xf numFmtId="0" fontId="26" fillId="0" borderId="35" xfId="0" applyFont="1" applyBorder="1"/>
    <xf numFmtId="0" fontId="26" fillId="0" borderId="36" xfId="0" applyFont="1" applyBorder="1"/>
    <xf numFmtId="37" fontId="26" fillId="0" borderId="38" xfId="0" applyNumberFormat="1" applyFont="1" applyBorder="1"/>
    <xf numFmtId="0" fontId="51" fillId="0" borderId="0" xfId="0" applyFont="1"/>
    <xf numFmtId="0" fontId="3" fillId="0" borderId="0" xfId="8"/>
    <xf numFmtId="0" fontId="3" fillId="11" borderId="0" xfId="8" applyFill="1"/>
    <xf numFmtId="0" fontId="46" fillId="0" borderId="1" xfId="8" applyFont="1" applyBorder="1"/>
    <xf numFmtId="0" fontId="47" fillId="3" borderId="1" xfId="8" applyFont="1" applyFill="1" applyBorder="1" applyAlignment="1">
      <alignment horizontal="center" vertical="center"/>
    </xf>
    <xf numFmtId="0" fontId="26" fillId="0" borderId="1" xfId="8" applyFont="1" applyBorder="1"/>
    <xf numFmtId="0" fontId="14" fillId="0" borderId="1" xfId="8" applyFont="1" applyBorder="1" applyAlignment="1">
      <alignment horizontal="right"/>
    </xf>
    <xf numFmtId="0" fontId="27" fillId="2" borderId="12" xfId="8" applyFont="1" applyFill="1" applyBorder="1"/>
    <xf numFmtId="0" fontId="27" fillId="2" borderId="31" xfId="8" applyFont="1" applyFill="1" applyBorder="1"/>
    <xf numFmtId="0" fontId="27" fillId="2" borderId="14" xfId="8" applyFont="1" applyFill="1" applyBorder="1"/>
    <xf numFmtId="0" fontId="14" fillId="0" borderId="8" xfId="8" applyFont="1" applyBorder="1"/>
    <xf numFmtId="165" fontId="14" fillId="0" borderId="18" xfId="9" applyNumberFormat="1" applyFont="1" applyBorder="1"/>
    <xf numFmtId="166" fontId="14" fillId="0" borderId="18" xfId="9" applyNumberFormat="1" applyFont="1" applyBorder="1"/>
    <xf numFmtId="165" fontId="14" fillId="0" borderId="17" xfId="9" applyNumberFormat="1" applyFont="1" applyBorder="1"/>
    <xf numFmtId="0" fontId="26" fillId="0" borderId="18" xfId="8" applyFont="1" applyBorder="1"/>
    <xf numFmtId="0" fontId="26" fillId="0" borderId="8" xfId="8" applyFont="1" applyBorder="1"/>
    <xf numFmtId="166" fontId="26" fillId="8" borderId="18" xfId="8" applyNumberFormat="1" applyFont="1" applyFill="1" applyBorder="1"/>
    <xf numFmtId="166" fontId="26" fillId="0" borderId="18" xfId="8" applyNumberFormat="1" applyFont="1" applyBorder="1"/>
    <xf numFmtId="43" fontId="26" fillId="8" borderId="18" xfId="9" applyFont="1" applyFill="1" applyBorder="1"/>
    <xf numFmtId="167" fontId="26" fillId="8" borderId="18" xfId="9" applyNumberFormat="1" applyFont="1" applyFill="1" applyBorder="1"/>
    <xf numFmtId="43" fontId="26" fillId="0" borderId="18" xfId="9" applyFont="1" applyBorder="1"/>
    <xf numFmtId="0" fontId="26" fillId="0" borderId="10" xfId="8" applyFont="1" applyBorder="1"/>
    <xf numFmtId="166" fontId="26" fillId="0" borderId="21" xfId="8" applyNumberFormat="1" applyFont="1" applyBorder="1"/>
    <xf numFmtId="166" fontId="14" fillId="0" borderId="18" xfId="8" applyNumberFormat="1" applyFont="1" applyBorder="1"/>
    <xf numFmtId="0" fontId="14" fillId="0" borderId="15" xfId="10" applyFont="1" applyBorder="1"/>
    <xf numFmtId="165" fontId="14" fillId="0" borderId="19" xfId="9" applyNumberFormat="1" applyFont="1" applyBorder="1"/>
    <xf numFmtId="0" fontId="14" fillId="0" borderId="8" xfId="10" applyFont="1" applyBorder="1"/>
    <xf numFmtId="166" fontId="14" fillId="0" borderId="18" xfId="10" applyNumberFormat="1" applyFont="1" applyBorder="1"/>
    <xf numFmtId="0" fontId="26" fillId="0" borderId="8" xfId="10" applyFont="1" applyBorder="1"/>
    <xf numFmtId="166" fontId="26" fillId="0" borderId="8" xfId="8" applyNumberFormat="1" applyFont="1" applyBorder="1"/>
    <xf numFmtId="43" fontId="26" fillId="0" borderId="9" xfId="9" applyFont="1" applyBorder="1"/>
    <xf numFmtId="0" fontId="26" fillId="0" borderId="10" xfId="10" applyFont="1" applyBorder="1"/>
    <xf numFmtId="38" fontId="14" fillId="0" borderId="19" xfId="9" applyNumberFormat="1" applyFont="1" applyBorder="1"/>
    <xf numFmtId="166" fontId="14" fillId="0" borderId="19" xfId="10" applyNumberFormat="1" applyFont="1" applyBorder="1"/>
    <xf numFmtId="38" fontId="14" fillId="0" borderId="18" xfId="9" applyNumberFormat="1" applyFont="1" applyBorder="1"/>
    <xf numFmtId="167" fontId="26" fillId="0" borderId="18" xfId="9" applyNumberFormat="1" applyFont="1" applyBorder="1"/>
    <xf numFmtId="167" fontId="26" fillId="0" borderId="8" xfId="9" applyNumberFormat="1" applyFont="1" applyBorder="1"/>
    <xf numFmtId="166" fontId="26" fillId="8" borderId="8" xfId="8" applyNumberFormat="1" applyFont="1" applyFill="1" applyBorder="1"/>
    <xf numFmtId="167" fontId="26" fillId="0" borderId="21" xfId="9" applyNumberFormat="1" applyFont="1" applyBorder="1"/>
    <xf numFmtId="167" fontId="26" fillId="0" borderId="10" xfId="9" applyNumberFormat="1" applyFont="1" applyBorder="1"/>
    <xf numFmtId="167" fontId="14" fillId="0" borderId="18" xfId="9" applyNumberFormat="1" applyFont="1" applyBorder="1"/>
    <xf numFmtId="0" fontId="26" fillId="0" borderId="0" xfId="8" applyFont="1"/>
    <xf numFmtId="0" fontId="26" fillId="0" borderId="21" xfId="8" applyFont="1" applyBorder="1"/>
    <xf numFmtId="43" fontId="26" fillId="8" borderId="21" xfId="9" applyFont="1" applyFill="1" applyBorder="1"/>
    <xf numFmtId="0" fontId="14" fillId="0" borderId="16" xfId="11" applyFont="1" applyBorder="1"/>
    <xf numFmtId="166" fontId="35" fillId="0" borderId="20" xfId="11" applyNumberFormat="1" applyFont="1" applyBorder="1"/>
    <xf numFmtId="166" fontId="27" fillId="0" borderId="20" xfId="11" applyNumberFormat="1" applyFont="1" applyBorder="1"/>
    <xf numFmtId="0" fontId="14" fillId="0" borderId="8" xfId="11" applyFont="1" applyBorder="1"/>
    <xf numFmtId="0" fontId="14" fillId="4" borderId="12" xfId="11" applyFont="1" applyFill="1" applyBorder="1"/>
    <xf numFmtId="166" fontId="26" fillId="4" borderId="31" xfId="8" applyNumberFormat="1" applyFont="1" applyFill="1" applyBorder="1"/>
    <xf numFmtId="0" fontId="14" fillId="2" borderId="23" xfId="8" applyFont="1" applyFill="1" applyBorder="1"/>
    <xf numFmtId="38" fontId="14" fillId="2" borderId="25" xfId="9" applyNumberFormat="1" applyFont="1" applyFill="1" applyBorder="1"/>
    <xf numFmtId="0" fontId="29" fillId="0" borderId="10" xfId="11" applyFont="1" applyBorder="1"/>
    <xf numFmtId="165" fontId="29" fillId="3" borderId="21" xfId="9" applyNumberFormat="1" applyFont="1" applyFill="1" applyBorder="1"/>
    <xf numFmtId="0" fontId="29" fillId="0" borderId="0" xfId="11" applyFont="1" applyBorder="1"/>
    <xf numFmtId="0" fontId="48" fillId="0" borderId="8" xfId="8" applyFont="1" applyBorder="1"/>
    <xf numFmtId="0" fontId="27" fillId="0" borderId="18" xfId="8" applyFont="1" applyBorder="1"/>
    <xf numFmtId="0" fontId="27" fillId="0" borderId="0" xfId="8" applyFont="1"/>
    <xf numFmtId="0" fontId="27" fillId="0" borderId="9" xfId="8" applyFont="1" applyBorder="1"/>
    <xf numFmtId="0" fontId="31" fillId="0" borderId="8" xfId="8" applyFont="1" applyBorder="1"/>
    <xf numFmtId="167" fontId="31" fillId="0" borderId="18" xfId="9" applyNumberFormat="1" applyFont="1" applyBorder="1"/>
    <xf numFmtId="167" fontId="31" fillId="0" borderId="9" xfId="9" applyNumberFormat="1" applyFont="1" applyBorder="1"/>
    <xf numFmtId="0" fontId="31" fillId="0" borderId="18" xfId="8" applyFont="1" applyBorder="1"/>
    <xf numFmtId="167" fontId="31" fillId="0" borderId="0" xfId="9" applyNumberFormat="1" applyFont="1" applyBorder="1"/>
    <xf numFmtId="0" fontId="31" fillId="0" borderId="10" xfId="8" applyFont="1" applyBorder="1"/>
    <xf numFmtId="167" fontId="31" fillId="0" borderId="21" xfId="9" applyNumberFormat="1" applyFont="1" applyBorder="1"/>
    <xf numFmtId="166" fontId="26" fillId="8" borderId="21" xfId="8" applyNumberFormat="1" applyFont="1" applyFill="1" applyBorder="1"/>
    <xf numFmtId="167" fontId="31" fillId="0" borderId="11" xfId="9" applyNumberFormat="1" applyFont="1" applyBorder="1"/>
    <xf numFmtId="0" fontId="14" fillId="0" borderId="12" xfId="10" applyFont="1" applyBorder="1"/>
    <xf numFmtId="167" fontId="14" fillId="0" borderId="31" xfId="10" applyNumberFormat="1" applyFont="1" applyBorder="1"/>
    <xf numFmtId="166" fontId="49" fillId="0" borderId="18" xfId="8" applyNumberFormat="1" applyFont="1" applyBorder="1"/>
    <xf numFmtId="167" fontId="31" fillId="0" borderId="18" xfId="9" applyNumberFormat="1" applyFont="1" applyFill="1" applyBorder="1"/>
    <xf numFmtId="167" fontId="31" fillId="8" borderId="18" xfId="9" applyNumberFormat="1" applyFont="1" applyFill="1" applyBorder="1"/>
    <xf numFmtId="167" fontId="14" fillId="0" borderId="18" xfId="9" applyNumberFormat="1" applyFont="1" applyFill="1" applyBorder="1"/>
    <xf numFmtId="167" fontId="26" fillId="0" borderId="18" xfId="9" applyNumberFormat="1" applyFont="1" applyFill="1" applyBorder="1"/>
    <xf numFmtId="167" fontId="26" fillId="0" borderId="21" xfId="9" applyNumberFormat="1" applyFont="1" applyFill="1" applyBorder="1"/>
    <xf numFmtId="167" fontId="26" fillId="0" borderId="9" xfId="9" applyNumberFormat="1" applyFont="1" applyBorder="1"/>
    <xf numFmtId="167" fontId="14" fillId="0" borderId="19" xfId="10" applyNumberFormat="1" applyFont="1" applyBorder="1"/>
    <xf numFmtId="0" fontId="26" fillId="0" borderId="5" xfId="8" applyFont="1" applyBorder="1"/>
    <xf numFmtId="0" fontId="26" fillId="0" borderId="17" xfId="8" applyFont="1" applyBorder="1"/>
    <xf numFmtId="0" fontId="14" fillId="2" borderId="23" xfId="12" applyFont="1" applyFill="1" applyBorder="1"/>
    <xf numFmtId="167" fontId="14" fillId="2" borderId="25" xfId="12" applyNumberFormat="1" applyFont="1" applyFill="1" applyBorder="1"/>
    <xf numFmtId="0" fontId="28" fillId="0" borderId="8" xfId="8" applyFont="1" applyBorder="1"/>
    <xf numFmtId="167" fontId="49" fillId="0" borderId="18" xfId="9" applyNumberFormat="1" applyFont="1" applyBorder="1"/>
    <xf numFmtId="167" fontId="26" fillId="5" borderId="18" xfId="9" applyNumberFormat="1" applyFont="1" applyFill="1" applyBorder="1"/>
    <xf numFmtId="167" fontId="35" fillId="0" borderId="21" xfId="9" applyNumberFormat="1" applyFont="1" applyBorder="1"/>
    <xf numFmtId="0" fontId="14" fillId="0" borderId="12" xfId="8" applyFont="1" applyBorder="1"/>
    <xf numFmtId="167" fontId="14" fillId="0" borderId="31" xfId="9" applyNumberFormat="1" applyFont="1" applyBorder="1"/>
    <xf numFmtId="166" fontId="14" fillId="8" borderId="18" xfId="8" applyNumberFormat="1" applyFont="1" applyFill="1" applyBorder="1"/>
    <xf numFmtId="0" fontId="26" fillId="0" borderId="26" xfId="8" applyFont="1" applyBorder="1"/>
    <xf numFmtId="0" fontId="26" fillId="0" borderId="27" xfId="8" applyFont="1" applyBorder="1"/>
    <xf numFmtId="0" fontId="46" fillId="0" borderId="10" xfId="12" applyFont="1" applyFill="1" applyBorder="1"/>
    <xf numFmtId="165" fontId="50" fillId="0" borderId="21" xfId="9" applyNumberFormat="1" applyFont="1" applyFill="1" applyBorder="1"/>
    <xf numFmtId="165" fontId="50" fillId="0" borderId="21" xfId="9" applyNumberFormat="1" applyFont="1" applyFill="1" applyBorder="1" applyAlignment="1">
      <alignment horizontal="right"/>
    </xf>
    <xf numFmtId="0" fontId="62" fillId="8" borderId="31" xfId="8" applyFont="1" applyFill="1" applyBorder="1"/>
    <xf numFmtId="43" fontId="69" fillId="0" borderId="0" xfId="9" applyFont="1" applyBorder="1" applyAlignment="1">
      <alignment horizontal="left"/>
    </xf>
    <xf numFmtId="0" fontId="70" fillId="0" borderId="0" xfId="8" applyFont="1"/>
    <xf numFmtId="0" fontId="69" fillId="0" borderId="0" xfId="8" applyFont="1" applyAlignment="1">
      <alignment horizontal="left"/>
    </xf>
    <xf numFmtId="0" fontId="6" fillId="4" borderId="0" xfId="5" applyFill="1"/>
    <xf numFmtId="0" fontId="26" fillId="0" borderId="6" xfId="0" applyFont="1" applyBorder="1"/>
    <xf numFmtId="0" fontId="26" fillId="0" borderId="7" xfId="0" applyFont="1" applyBorder="1"/>
    <xf numFmtId="0" fontId="26" fillId="0" borderId="1" xfId="0" applyFont="1" applyBorder="1" applyAlignment="1">
      <alignment horizontal="left"/>
    </xf>
    <xf numFmtId="0" fontId="26" fillId="0" borderId="21" xfId="0" applyFont="1" applyBorder="1"/>
    <xf numFmtId="0" fontId="26" fillId="0" borderId="12" xfId="0" applyFont="1" applyBorder="1"/>
    <xf numFmtId="0" fontId="26" fillId="0" borderId="13" xfId="0" applyFont="1" applyBorder="1"/>
    <xf numFmtId="0" fontId="26" fillId="0" borderId="14" xfId="0" applyFont="1" applyBorder="1"/>
    <xf numFmtId="0" fontId="26" fillId="4" borderId="5" xfId="0" applyFont="1" applyFill="1" applyBorder="1"/>
    <xf numFmtId="0" fontId="26" fillId="4" borderId="6" xfId="0" applyFont="1" applyFill="1" applyBorder="1"/>
    <xf numFmtId="0" fontId="26" fillId="4" borderId="7" xfId="0" applyFont="1" applyFill="1" applyBorder="1"/>
    <xf numFmtId="0" fontId="26" fillId="4" borderId="10" xfId="0" applyFont="1" applyFill="1" applyBorder="1"/>
    <xf numFmtId="0" fontId="26" fillId="4" borderId="1" xfId="0" applyFont="1" applyFill="1" applyBorder="1"/>
    <xf numFmtId="0" fontId="26" fillId="4" borderId="11" xfId="0" applyFont="1" applyFill="1" applyBorder="1"/>
    <xf numFmtId="0" fontId="14" fillId="0" borderId="17" xfId="0" applyFont="1" applyBorder="1"/>
    <xf numFmtId="0" fontId="14" fillId="0" borderId="18" xfId="0" applyFont="1" applyBorder="1"/>
    <xf numFmtId="0" fontId="14" fillId="0" borderId="21" xfId="0" applyFont="1" applyBorder="1"/>
    <xf numFmtId="0" fontId="14" fillId="0" borderId="7" xfId="0" applyFont="1" applyBorder="1"/>
    <xf numFmtId="0" fontId="14" fillId="0" borderId="9" xfId="0" applyFont="1" applyBorder="1"/>
    <xf numFmtId="0" fontId="14" fillId="0" borderId="11" xfId="0" applyFont="1" applyBorder="1"/>
    <xf numFmtId="0" fontId="14" fillId="0" borderId="12" xfId="0" applyFont="1" applyBorder="1"/>
    <xf numFmtId="0" fontId="14" fillId="0" borderId="13" xfId="0" applyFont="1" applyBorder="1"/>
    <xf numFmtId="0" fontId="14" fillId="0" borderId="14" xfId="0" applyFont="1" applyBorder="1"/>
    <xf numFmtId="10" fontId="0" fillId="0" borderId="0" xfId="6" applyNumberFormat="1" applyFont="1"/>
    <xf numFmtId="0" fontId="71" fillId="0" borderId="0" xfId="0" applyFont="1"/>
    <xf numFmtId="165" fontId="14" fillId="0" borderId="0" xfId="1" applyNumberFormat="1" applyFont="1" applyBorder="1" applyAlignment="1">
      <alignment horizontal="right"/>
    </xf>
    <xf numFmtId="37" fontId="26" fillId="0" borderId="17" xfId="1" applyNumberFormat="1" applyFont="1" applyBorder="1"/>
    <xf numFmtId="165" fontId="26" fillId="0" borderId="38" xfId="1" applyNumberFormat="1" applyFont="1" applyFill="1" applyBorder="1"/>
    <xf numFmtId="164" fontId="26" fillId="0" borderId="38" xfId="1" applyFont="1" applyFill="1" applyBorder="1"/>
    <xf numFmtId="166" fontId="26" fillId="0" borderId="38" xfId="0" applyNumberFormat="1" applyFont="1" applyBorder="1"/>
    <xf numFmtId="37" fontId="26" fillId="0" borderId="0" xfId="1" applyNumberFormat="1" applyFont="1" applyFill="1"/>
    <xf numFmtId="38" fontId="26" fillId="0" borderId="1" xfId="1" applyNumberFormat="1" applyFont="1" applyFill="1" applyBorder="1"/>
    <xf numFmtId="37" fontId="14" fillId="0" borderId="14" xfId="1" applyNumberFormat="1" applyFont="1" applyFill="1" applyBorder="1"/>
    <xf numFmtId="43" fontId="26" fillId="0" borderId="18" xfId="9" applyFont="1" applyFill="1" applyBorder="1"/>
    <xf numFmtId="38" fontId="14" fillId="0" borderId="19" xfId="9" applyNumberFormat="1" applyFont="1" applyFill="1" applyBorder="1"/>
    <xf numFmtId="38" fontId="14" fillId="0" borderId="18" xfId="9" applyNumberFormat="1" applyFont="1" applyFill="1" applyBorder="1"/>
    <xf numFmtId="43" fontId="26" fillId="0" borderId="21" xfId="9" applyFont="1" applyFill="1" applyBorder="1"/>
    <xf numFmtId="166" fontId="31" fillId="0" borderId="18" xfId="8" applyNumberFormat="1" applyFont="1" applyBorder="1"/>
    <xf numFmtId="166" fontId="35" fillId="0" borderId="20" xfId="11" applyNumberFormat="1" applyFont="1" applyFill="1" applyBorder="1"/>
    <xf numFmtId="43" fontId="26" fillId="0" borderId="27" xfId="9" applyFont="1" applyFill="1" applyBorder="1"/>
    <xf numFmtId="165" fontId="14" fillId="0" borderId="18" xfId="9" applyNumberFormat="1" applyFont="1" applyFill="1" applyBorder="1"/>
    <xf numFmtId="43" fontId="26" fillId="0" borderId="31" xfId="9" applyFont="1" applyFill="1" applyBorder="1"/>
    <xf numFmtId="38" fontId="14" fillId="0" borderId="25" xfId="9" applyNumberFormat="1" applyFont="1" applyFill="1" applyBorder="1"/>
    <xf numFmtId="165" fontId="29" fillId="0" borderId="21" xfId="9" applyNumberFormat="1" applyFont="1" applyFill="1" applyBorder="1"/>
    <xf numFmtId="167" fontId="26" fillId="0" borderId="21" xfId="1" applyNumberFormat="1" applyFont="1" applyFill="1" applyBorder="1"/>
    <xf numFmtId="0" fontId="27" fillId="0" borderId="17" xfId="8" applyFont="1" applyBorder="1"/>
    <xf numFmtId="167" fontId="26" fillId="8" borderId="18" xfId="1" applyNumberFormat="1" applyFont="1" applyFill="1" applyBorder="1"/>
    <xf numFmtId="167" fontId="31" fillId="0" borderId="9" xfId="9" applyNumberFormat="1" applyFont="1" applyFill="1" applyBorder="1"/>
    <xf numFmtId="167" fontId="31" fillId="0" borderId="21" xfId="9" applyNumberFormat="1" applyFont="1" applyFill="1" applyBorder="1"/>
    <xf numFmtId="167" fontId="27" fillId="0" borderId="9" xfId="9" applyNumberFormat="1" applyFont="1" applyFill="1" applyBorder="1"/>
    <xf numFmtId="167" fontId="14" fillId="0" borderId="21" xfId="9" applyNumberFormat="1" applyFont="1" applyFill="1" applyBorder="1"/>
    <xf numFmtId="167" fontId="14" fillId="0" borderId="31" xfId="10" applyNumberFormat="1" applyFont="1" applyFill="1" applyBorder="1"/>
    <xf numFmtId="167" fontId="14" fillId="0" borderId="19" xfId="10" applyNumberFormat="1" applyFont="1" applyFill="1" applyBorder="1"/>
    <xf numFmtId="167" fontId="49" fillId="0" borderId="18" xfId="9" applyNumberFormat="1" applyFont="1" applyFill="1" applyBorder="1"/>
    <xf numFmtId="167" fontId="14" fillId="0" borderId="31" xfId="9" applyNumberFormat="1" applyFont="1" applyFill="1" applyBorder="1"/>
    <xf numFmtId="167" fontId="27" fillId="0" borderId="18" xfId="9" applyNumberFormat="1" applyFont="1" applyFill="1" applyBorder="1"/>
    <xf numFmtId="0" fontId="68" fillId="0" borderId="18" xfId="8" applyFont="1" applyBorder="1"/>
    <xf numFmtId="167" fontId="27" fillId="0" borderId="31" xfId="10" applyNumberFormat="1" applyFont="1" applyFill="1" applyBorder="1"/>
    <xf numFmtId="167" fontId="35" fillId="0" borderId="18" xfId="9" applyNumberFormat="1" applyFont="1" applyFill="1" applyBorder="1"/>
    <xf numFmtId="0" fontId="9" fillId="0" borderId="0" xfId="0" applyFont="1"/>
    <xf numFmtId="37" fontId="8" fillId="9" borderId="29" xfId="1" applyNumberFormat="1" applyFont="1" applyFill="1" applyBorder="1"/>
    <xf numFmtId="37" fontId="8" fillId="9" borderId="30" xfId="1" applyNumberFormat="1" applyFont="1" applyFill="1" applyBorder="1"/>
    <xf numFmtId="38" fontId="26" fillId="0" borderId="38" xfId="1" applyNumberFormat="1" applyFont="1" applyBorder="1"/>
    <xf numFmtId="37" fontId="26" fillId="0" borderId="38" xfId="1" applyNumberFormat="1" applyFont="1" applyFill="1" applyBorder="1"/>
    <xf numFmtId="38" fontId="26" fillId="0" borderId="52" xfId="1" applyNumberFormat="1" applyFont="1" applyFill="1" applyBorder="1"/>
    <xf numFmtId="172" fontId="8" fillId="4" borderId="41" xfId="0" applyNumberFormat="1" applyFont="1" applyFill="1" applyBorder="1"/>
    <xf numFmtId="38" fontId="26" fillId="3" borderId="38" xfId="1" applyNumberFormat="1" applyFont="1" applyFill="1" applyBorder="1"/>
    <xf numFmtId="38" fontId="26" fillId="0" borderId="0" xfId="1" applyNumberFormat="1" applyFont="1" applyBorder="1"/>
    <xf numFmtId="165" fontId="26" fillId="0" borderId="0" xfId="1" applyNumberFormat="1" applyFont="1" applyBorder="1"/>
    <xf numFmtId="0" fontId="26" fillId="0" borderId="54" xfId="0" applyFont="1" applyBorder="1"/>
    <xf numFmtId="165" fontId="26" fillId="0" borderId="9" xfId="1" applyNumberFormat="1" applyFont="1" applyBorder="1"/>
    <xf numFmtId="0" fontId="14" fillId="0" borderId="35" xfId="0" applyFont="1" applyBorder="1"/>
    <xf numFmtId="0" fontId="14" fillId="0" borderId="34" xfId="0" applyFont="1" applyBorder="1"/>
    <xf numFmtId="38" fontId="26" fillId="0" borderId="0" xfId="1" applyNumberFormat="1" applyFont="1" applyFill="1" applyBorder="1"/>
    <xf numFmtId="38" fontId="14" fillId="0" borderId="9" xfId="1" applyNumberFormat="1" applyFont="1" applyBorder="1"/>
    <xf numFmtId="0" fontId="8" fillId="9" borderId="39" xfId="0" applyFont="1" applyFill="1" applyBorder="1"/>
    <xf numFmtId="0" fontId="8" fillId="9" borderId="40" xfId="0" applyFont="1" applyFill="1" applyBorder="1"/>
    <xf numFmtId="0" fontId="8" fillId="9" borderId="41" xfId="0" applyFont="1" applyFill="1" applyBorder="1"/>
    <xf numFmtId="0" fontId="8" fillId="9" borderId="34" xfId="0" applyFont="1" applyFill="1" applyBorder="1"/>
    <xf numFmtId="0" fontId="8" fillId="9" borderId="35" xfId="0" applyFont="1" applyFill="1" applyBorder="1"/>
    <xf numFmtId="0" fontId="14" fillId="0" borderId="39" xfId="0" applyFont="1" applyBorder="1" applyAlignment="1">
      <alignment wrapText="1"/>
    </xf>
    <xf numFmtId="175" fontId="72" fillId="0" borderId="0" xfId="1" applyNumberFormat="1" applyFont="1"/>
    <xf numFmtId="0" fontId="57" fillId="0" borderId="0" xfId="0" applyFont="1"/>
    <xf numFmtId="15" fontId="14" fillId="0" borderId="40" xfId="0" applyNumberFormat="1" applyFont="1" applyBorder="1" applyAlignment="1">
      <alignment horizontal="center" vertical="center"/>
    </xf>
    <xf numFmtId="15" fontId="14" fillId="0" borderId="68" xfId="0" applyNumberFormat="1" applyFont="1" applyBorder="1" applyAlignment="1">
      <alignment horizontal="center" vertical="center"/>
    </xf>
    <xf numFmtId="0" fontId="14" fillId="0" borderId="40" xfId="0" applyFont="1" applyBorder="1" applyAlignment="1">
      <alignment horizontal="center" vertical="center"/>
    </xf>
    <xf numFmtId="0" fontId="14" fillId="0" borderId="41" xfId="0" applyFont="1" applyBorder="1" applyAlignment="1">
      <alignment horizontal="center" vertical="center"/>
    </xf>
    <xf numFmtId="0" fontId="5" fillId="0" borderId="31" xfId="0" applyFont="1" applyBorder="1"/>
    <xf numFmtId="0" fontId="5" fillId="0" borderId="12" xfId="0" applyFont="1" applyBorder="1"/>
    <xf numFmtId="0" fontId="5" fillId="0" borderId="14" xfId="0" applyFont="1" applyBorder="1"/>
    <xf numFmtId="0" fontId="5" fillId="0" borderId="0" xfId="0" applyFont="1" applyAlignment="1">
      <alignment horizontal="center"/>
    </xf>
    <xf numFmtId="0" fontId="73" fillId="0" borderId="0" xfId="0" applyFont="1" applyAlignment="1">
      <alignment vertical="center"/>
    </xf>
    <xf numFmtId="167" fontId="31" fillId="3" borderId="18" xfId="9" applyNumberFormat="1" applyFont="1" applyFill="1" applyBorder="1"/>
    <xf numFmtId="167" fontId="31" fillId="3" borderId="21" xfId="9" applyNumberFormat="1" applyFont="1" applyFill="1" applyBorder="1"/>
    <xf numFmtId="167" fontId="27" fillId="3" borderId="18" xfId="9" applyNumberFormat="1" applyFont="1" applyFill="1" applyBorder="1"/>
    <xf numFmtId="38" fontId="14" fillId="0" borderId="13" xfId="1" applyNumberFormat="1" applyFont="1" applyFill="1" applyBorder="1"/>
    <xf numFmtId="0" fontId="27" fillId="0" borderId="0" xfId="0" applyFont="1" applyAlignment="1">
      <alignment horizontal="right"/>
    </xf>
    <xf numFmtId="0" fontId="9" fillId="0" borderId="0" xfId="0" applyFont="1" applyAlignment="1">
      <alignment horizontal="right"/>
    </xf>
    <xf numFmtId="38" fontId="14" fillId="0" borderId="31" xfId="1" applyNumberFormat="1" applyFont="1" applyBorder="1" applyAlignment="1">
      <alignment horizontal="right"/>
    </xf>
    <xf numFmtId="38" fontId="14" fillId="12" borderId="31" xfId="1" applyNumberFormat="1" applyFont="1" applyFill="1" applyBorder="1" applyAlignment="1">
      <alignment horizontal="right"/>
    </xf>
    <xf numFmtId="165" fontId="14" fillId="0" borderId="31" xfId="1" applyNumberFormat="1" applyFont="1" applyFill="1" applyBorder="1" applyAlignment="1">
      <alignment horizontal="right"/>
    </xf>
    <xf numFmtId="175" fontId="72" fillId="0" borderId="0" xfId="1" applyNumberFormat="1" applyFont="1" applyFill="1"/>
    <xf numFmtId="175" fontId="26" fillId="0" borderId="0" xfId="1" applyNumberFormat="1" applyFont="1" applyFill="1"/>
    <xf numFmtId="175" fontId="26" fillId="0" borderId="18" xfId="1" applyNumberFormat="1" applyFont="1" applyFill="1" applyBorder="1"/>
    <xf numFmtId="175" fontId="26" fillId="0" borderId="12" xfId="1" applyNumberFormat="1" applyFont="1" applyFill="1" applyBorder="1"/>
    <xf numFmtId="175" fontId="14" fillId="0" borderId="31" xfId="1" applyNumberFormat="1" applyFont="1" applyFill="1" applyBorder="1"/>
    <xf numFmtId="175" fontId="14" fillId="0" borderId="13" xfId="1" applyNumberFormat="1" applyFont="1" applyFill="1" applyBorder="1"/>
    <xf numFmtId="38" fontId="26" fillId="0" borderId="18" xfId="1" applyNumberFormat="1" applyFont="1" applyFill="1" applyBorder="1"/>
    <xf numFmtId="175" fontId="14" fillId="0" borderId="12" xfId="1" applyNumberFormat="1" applyFont="1" applyFill="1" applyBorder="1"/>
    <xf numFmtId="175" fontId="72" fillId="0" borderId="12" xfId="1" applyNumberFormat="1" applyFont="1" applyFill="1" applyBorder="1"/>
    <xf numFmtId="38" fontId="26" fillId="0" borderId="31" xfId="1" applyNumberFormat="1" applyFont="1" applyFill="1" applyBorder="1"/>
    <xf numFmtId="38" fontId="26" fillId="0" borderId="13" xfId="1" applyNumberFormat="1" applyFont="1" applyFill="1" applyBorder="1"/>
    <xf numFmtId="0" fontId="27" fillId="0" borderId="47" xfId="0" applyFont="1" applyBorder="1"/>
    <xf numFmtId="166" fontId="26" fillId="0" borderId="0" xfId="0" applyNumberFormat="1" applyFont="1"/>
    <xf numFmtId="38" fontId="0" fillId="0" borderId="0" xfId="0" applyNumberFormat="1"/>
    <xf numFmtId="38" fontId="14" fillId="0" borderId="0" xfId="0" applyNumberFormat="1" applyFont="1"/>
    <xf numFmtId="38" fontId="8" fillId="9" borderId="35" xfId="1" applyNumberFormat="1" applyFont="1" applyFill="1" applyBorder="1"/>
    <xf numFmtId="175" fontId="26" fillId="0" borderId="8" xfId="1" applyNumberFormat="1" applyFont="1" applyFill="1" applyBorder="1"/>
    <xf numFmtId="175" fontId="26" fillId="0" borderId="0" xfId="1" applyNumberFormat="1" applyFont="1" applyFill="1" applyBorder="1"/>
    <xf numFmtId="175" fontId="72" fillId="0" borderId="8" xfId="1" applyNumberFormat="1" applyFont="1" applyFill="1" applyBorder="1"/>
    <xf numFmtId="0" fontId="0" fillId="0" borderId="8" xfId="0" applyBorder="1"/>
    <xf numFmtId="0" fontId="0" fillId="0" borderId="18" xfId="0" applyBorder="1"/>
    <xf numFmtId="175" fontId="26" fillId="0" borderId="17" xfId="1" applyNumberFormat="1" applyFont="1" applyFill="1" applyBorder="1"/>
    <xf numFmtId="38" fontId="26" fillId="0" borderId="21" xfId="1" applyNumberFormat="1" applyFont="1" applyFill="1" applyBorder="1"/>
    <xf numFmtId="175" fontId="35" fillId="0" borderId="0" xfId="1" applyNumberFormat="1" applyFont="1" applyFill="1"/>
    <xf numFmtId="0" fontId="64" fillId="0" borderId="0" xfId="8" applyFont="1"/>
    <xf numFmtId="0" fontId="1" fillId="0" borderId="0" xfId="8" applyFont="1"/>
    <xf numFmtId="164" fontId="68" fillId="0" borderId="0" xfId="1" applyFont="1" applyAlignment="1">
      <alignment horizontal="right"/>
    </xf>
    <xf numFmtId="164" fontId="68" fillId="0" borderId="0" xfId="1" applyFont="1" applyBorder="1" applyAlignment="1">
      <alignment horizontal="right"/>
    </xf>
    <xf numFmtId="164" fontId="10" fillId="0" borderId="0" xfId="1" applyFont="1" applyBorder="1" applyAlignment="1">
      <alignment horizontal="right"/>
    </xf>
    <xf numFmtId="164" fontId="31" fillId="0" borderId="0" xfId="1" applyFont="1" applyAlignment="1">
      <alignment horizontal="right"/>
    </xf>
    <xf numFmtId="164" fontId="31" fillId="0" borderId="0" xfId="1" applyFont="1" applyBorder="1" applyAlignment="1">
      <alignment horizontal="right"/>
    </xf>
    <xf numFmtId="164" fontId="3" fillId="0" borderId="0" xfId="8" applyNumberFormat="1"/>
    <xf numFmtId="43" fontId="3" fillId="0" borderId="0" xfId="8" applyNumberFormat="1"/>
    <xf numFmtId="164" fontId="68" fillId="0" borderId="12" xfId="1" applyFont="1" applyBorder="1" applyAlignment="1">
      <alignment horizontal="right"/>
    </xf>
    <xf numFmtId="164" fontId="68" fillId="0" borderId="13" xfId="1" applyFont="1" applyBorder="1" applyAlignment="1">
      <alignment horizontal="right"/>
    </xf>
    <xf numFmtId="0" fontId="3" fillId="0" borderId="14" xfId="8" applyBorder="1"/>
    <xf numFmtId="164" fontId="68" fillId="3" borderId="0" xfId="1" applyFont="1" applyFill="1" applyAlignment="1">
      <alignment horizontal="right"/>
    </xf>
    <xf numFmtId="167" fontId="26" fillId="0" borderId="0" xfId="9" applyNumberFormat="1" applyFont="1" applyFill="1" applyBorder="1"/>
    <xf numFmtId="38" fontId="14" fillId="0" borderId="0" xfId="9" applyNumberFormat="1" applyFont="1" applyFill="1" applyBorder="1"/>
    <xf numFmtId="167" fontId="14" fillId="0" borderId="0" xfId="9" applyNumberFormat="1" applyFont="1" applyFill="1" applyBorder="1"/>
    <xf numFmtId="43" fontId="26" fillId="0" borderId="0" xfId="9" applyFont="1" applyFill="1" applyBorder="1"/>
    <xf numFmtId="166" fontId="35" fillId="0" borderId="0" xfId="11" applyNumberFormat="1" applyFont="1" applyFill="1" applyBorder="1"/>
    <xf numFmtId="165" fontId="14" fillId="0" borderId="0" xfId="9" applyNumberFormat="1" applyFont="1" applyFill="1" applyBorder="1"/>
    <xf numFmtId="165" fontId="29" fillId="0" borderId="0" xfId="9" applyNumberFormat="1" applyFont="1" applyFill="1" applyBorder="1"/>
    <xf numFmtId="167" fontId="31" fillId="0" borderId="0" xfId="9" applyNumberFormat="1" applyFont="1" applyFill="1" applyBorder="1"/>
    <xf numFmtId="167" fontId="27" fillId="0" borderId="0" xfId="9" applyNumberFormat="1" applyFont="1" applyFill="1" applyBorder="1"/>
    <xf numFmtId="167" fontId="14" fillId="0" borderId="0" xfId="10" applyNumberFormat="1" applyFont="1" applyFill="1" applyBorder="1"/>
    <xf numFmtId="167" fontId="35" fillId="0" borderId="0" xfId="9" applyNumberFormat="1" applyFont="1" applyFill="1" applyBorder="1"/>
    <xf numFmtId="167" fontId="49" fillId="0" borderId="0" xfId="9" applyNumberFormat="1" applyFont="1" applyFill="1" applyBorder="1"/>
    <xf numFmtId="167" fontId="31" fillId="0" borderId="8" xfId="9" applyNumberFormat="1" applyFont="1" applyFill="1" applyBorder="1"/>
    <xf numFmtId="167" fontId="27" fillId="0" borderId="8" xfId="9" applyNumberFormat="1" applyFont="1" applyFill="1" applyBorder="1"/>
    <xf numFmtId="167" fontId="27" fillId="0" borderId="0" xfId="10" applyNumberFormat="1" applyFont="1" applyFill="1" applyBorder="1"/>
    <xf numFmtId="165" fontId="50" fillId="0" borderId="0" xfId="9" applyNumberFormat="1" applyFont="1" applyFill="1" applyBorder="1" applyAlignment="1">
      <alignment horizontal="right"/>
    </xf>
    <xf numFmtId="164" fontId="10" fillId="3" borderId="0" xfId="1" applyFont="1" applyFill="1" applyBorder="1" applyAlignment="1">
      <alignment horizontal="right"/>
    </xf>
    <xf numFmtId="0" fontId="14" fillId="0" borderId="0" xfId="8" applyFont="1" applyAlignment="1">
      <alignment horizontal="right"/>
    </xf>
    <xf numFmtId="166" fontId="26" fillId="0" borderId="0" xfId="8" applyNumberFormat="1" applyFont="1"/>
    <xf numFmtId="166" fontId="14" fillId="0" borderId="8" xfId="8" applyNumberFormat="1" applyFont="1" applyBorder="1"/>
    <xf numFmtId="166" fontId="14" fillId="0" borderId="0" xfId="8" applyNumberFormat="1" applyFont="1"/>
    <xf numFmtId="164" fontId="26" fillId="0" borderId="0" xfId="1" applyFont="1" applyFill="1" applyBorder="1"/>
    <xf numFmtId="166" fontId="31" fillId="0" borderId="0" xfId="8" applyNumberFormat="1" applyFont="1"/>
    <xf numFmtId="166" fontId="49" fillId="0" borderId="0" xfId="8" applyNumberFormat="1" applyFont="1"/>
    <xf numFmtId="167" fontId="14" fillId="0" borderId="0" xfId="12" applyNumberFormat="1" applyFont="1" applyFill="1" applyBorder="1"/>
    <xf numFmtId="0" fontId="68" fillId="0" borderId="0" xfId="8" applyFont="1"/>
    <xf numFmtId="164" fontId="0" fillId="0" borderId="0" xfId="1" applyFont="1" applyFill="1"/>
    <xf numFmtId="164" fontId="68" fillId="0" borderId="0" xfId="1" applyFont="1" applyFill="1" applyAlignment="1">
      <alignment horizontal="right"/>
    </xf>
    <xf numFmtId="164" fontId="66" fillId="0" borderId="0" xfId="1" applyFont="1" applyFill="1" applyAlignment="1">
      <alignment horizontal="right"/>
    </xf>
    <xf numFmtId="37" fontId="0" fillId="0" borderId="0" xfId="1" applyNumberFormat="1" applyFont="1" applyFill="1"/>
    <xf numFmtId="37" fontId="68" fillId="0" borderId="0" xfId="1" applyNumberFormat="1" applyFont="1" applyFill="1" applyAlignment="1">
      <alignment horizontal="right"/>
    </xf>
    <xf numFmtId="37" fontId="0" fillId="0" borderId="0" xfId="0" applyNumberFormat="1" applyAlignment="1">
      <alignment horizontal="left"/>
    </xf>
    <xf numFmtId="164" fontId="66" fillId="0" borderId="0" xfId="1" applyFont="1" applyFill="1" applyBorder="1" applyAlignment="1">
      <alignment horizontal="right" vertical="center"/>
    </xf>
    <xf numFmtId="175" fontId="14" fillId="0" borderId="0" xfId="1" applyNumberFormat="1" applyFont="1" applyFill="1" applyBorder="1"/>
    <xf numFmtId="175" fontId="7" fillId="0" borderId="17" xfId="1" applyNumberFormat="1" applyFont="1" applyFill="1" applyBorder="1"/>
    <xf numFmtId="175" fontId="7" fillId="0" borderId="0" xfId="1" applyNumberFormat="1" applyFont="1" applyFill="1" applyBorder="1"/>
    <xf numFmtId="175" fontId="7" fillId="0" borderId="18" xfId="1" applyNumberFormat="1" applyFont="1" applyFill="1" applyBorder="1"/>
    <xf numFmtId="38" fontId="26" fillId="0" borderId="18" xfId="1" applyNumberFormat="1" applyFont="1" applyBorder="1"/>
    <xf numFmtId="38" fontId="14" fillId="0" borderId="0" xfId="1" applyNumberFormat="1" applyFont="1" applyFill="1" applyBorder="1"/>
    <xf numFmtId="175" fontId="74" fillId="0" borderId="18" xfId="1" applyNumberFormat="1" applyFont="1" applyFill="1" applyBorder="1"/>
    <xf numFmtId="175" fontId="31" fillId="0" borderId="18" xfId="1" applyNumberFormat="1" applyFont="1" applyFill="1" applyBorder="1"/>
    <xf numFmtId="164" fontId="31" fillId="0" borderId="18" xfId="1" applyFont="1" applyFill="1" applyBorder="1"/>
    <xf numFmtId="0" fontId="0" fillId="0" borderId="9" xfId="0" applyBorder="1"/>
    <xf numFmtId="164" fontId="26" fillId="0" borderId="18" xfId="1" applyFont="1" applyFill="1" applyBorder="1"/>
    <xf numFmtId="164" fontId="0" fillId="0" borderId="18" xfId="1" applyFont="1" applyBorder="1"/>
    <xf numFmtId="175" fontId="7" fillId="0" borderId="7" xfId="1" applyNumberFormat="1" applyFont="1" applyFill="1" applyBorder="1"/>
    <xf numFmtId="38" fontId="26" fillId="0" borderId="9" xfId="1" applyNumberFormat="1" applyFont="1" applyFill="1" applyBorder="1"/>
    <xf numFmtId="37" fontId="26" fillId="0" borderId="9" xfId="1" applyNumberFormat="1" applyFont="1" applyFill="1" applyBorder="1"/>
    <xf numFmtId="38" fontId="26" fillId="0" borderId="9" xfId="1" applyNumberFormat="1" applyFont="1" applyBorder="1"/>
    <xf numFmtId="38" fontId="35" fillId="0" borderId="9" xfId="1" applyNumberFormat="1" applyFont="1" applyFill="1" applyBorder="1"/>
    <xf numFmtId="175" fontId="26" fillId="0" borderId="9" xfId="1" applyNumberFormat="1" applyFont="1" applyFill="1" applyBorder="1"/>
    <xf numFmtId="175" fontId="27" fillId="0" borderId="18" xfId="1" applyNumberFormat="1" applyFont="1" applyFill="1" applyBorder="1"/>
    <xf numFmtId="37" fontId="26" fillId="0" borderId="14" xfId="1" applyNumberFormat="1" applyFont="1" applyFill="1" applyBorder="1"/>
    <xf numFmtId="37" fontId="26" fillId="0" borderId="31" xfId="1" applyNumberFormat="1" applyFont="1" applyFill="1" applyBorder="1"/>
    <xf numFmtId="175" fontId="75" fillId="0" borderId="0" xfId="1" applyNumberFormat="1" applyFont="1" applyFill="1"/>
    <xf numFmtId="175" fontId="72" fillId="0" borderId="17" xfId="1" applyNumberFormat="1" applyFont="1" applyFill="1" applyBorder="1"/>
    <xf numFmtId="175" fontId="26" fillId="0" borderId="21" xfId="1" applyNumberFormat="1" applyFont="1" applyFill="1" applyBorder="1"/>
    <xf numFmtId="175" fontId="14" fillId="0" borderId="14" xfId="1" applyNumberFormat="1" applyFont="1" applyFill="1" applyBorder="1"/>
    <xf numFmtId="0" fontId="0" fillId="0" borderId="21" xfId="0" applyBorder="1"/>
    <xf numFmtId="175" fontId="31" fillId="0" borderId="21" xfId="1" applyNumberFormat="1" applyFont="1" applyFill="1" applyBorder="1"/>
    <xf numFmtId="38" fontId="26" fillId="0" borderId="0" xfId="0" applyNumberFormat="1" applyFont="1"/>
    <xf numFmtId="175" fontId="7" fillId="0" borderId="5" xfId="1" applyNumberFormat="1" applyFont="1" applyFill="1" applyBorder="1"/>
    <xf numFmtId="38" fontId="26" fillId="0" borderId="8" xfId="1" applyNumberFormat="1" applyFont="1" applyBorder="1"/>
    <xf numFmtId="175" fontId="27" fillId="0" borderId="8" xfId="1" applyNumberFormat="1" applyFont="1" applyFill="1" applyBorder="1"/>
    <xf numFmtId="0" fontId="0" fillId="0" borderId="10" xfId="0" applyBorder="1"/>
    <xf numFmtId="38" fontId="35" fillId="0" borderId="18" xfId="1" applyNumberFormat="1" applyFont="1" applyFill="1" applyBorder="1"/>
    <xf numFmtId="38" fontId="55" fillId="0" borderId="0" xfId="0" applyNumberFormat="1" applyFont="1"/>
    <xf numFmtId="0" fontId="14" fillId="0" borderId="0" xfId="0" applyFont="1" applyAlignment="1">
      <alignment horizontal="center" vertical="center"/>
    </xf>
    <xf numFmtId="0" fontId="35" fillId="0" borderId="37" xfId="0" applyFont="1" applyBorder="1"/>
    <xf numFmtId="38" fontId="8" fillId="0" borderId="0" xfId="0" applyNumberFormat="1" applyFont="1" applyAlignment="1">
      <alignment horizontal="center"/>
    </xf>
    <xf numFmtId="0" fontId="63" fillId="0" borderId="12" xfId="0" applyFont="1" applyBorder="1"/>
    <xf numFmtId="0" fontId="0" fillId="0" borderId="5" xfId="0" applyBorder="1"/>
    <xf numFmtId="0" fontId="0" fillId="0" borderId="7" xfId="0" applyBorder="1"/>
    <xf numFmtId="0" fontId="0" fillId="0" borderId="6" xfId="0" applyBorder="1"/>
    <xf numFmtId="0" fontId="0" fillId="0" borderId="11" xfId="0" applyBorder="1"/>
    <xf numFmtId="165" fontId="26" fillId="0" borderId="0" xfId="1" applyNumberFormat="1" applyFont="1"/>
    <xf numFmtId="165" fontId="26" fillId="0" borderId="30" xfId="1" applyNumberFormat="1" applyFont="1" applyBorder="1"/>
    <xf numFmtId="165" fontId="14" fillId="0" borderId="28" xfId="1" applyNumberFormat="1" applyFont="1" applyBorder="1"/>
    <xf numFmtId="165" fontId="14" fillId="0" borderId="30" xfId="1" applyNumberFormat="1" applyFont="1" applyBorder="1"/>
    <xf numFmtId="165" fontId="0" fillId="0" borderId="9" xfId="0" applyNumberFormat="1" applyBorder="1"/>
    <xf numFmtId="165" fontId="5" fillId="0" borderId="9" xfId="0" applyNumberFormat="1" applyFont="1" applyBorder="1"/>
    <xf numFmtId="165" fontId="35" fillId="0" borderId="12" xfId="1" applyNumberFormat="1" applyFont="1" applyBorder="1"/>
    <xf numFmtId="41" fontId="35" fillId="0" borderId="14" xfId="1" applyNumberFormat="1" applyFont="1" applyBorder="1"/>
    <xf numFmtId="165" fontId="76" fillId="0" borderId="12" xfId="1" applyNumberFormat="1" applyFont="1" applyBorder="1"/>
    <xf numFmtId="165" fontId="76" fillId="0" borderId="14" xfId="1" applyNumberFormat="1" applyFont="1" applyBorder="1"/>
    <xf numFmtId="165" fontId="14" fillId="0" borderId="0" xfId="1" applyNumberFormat="1" applyFont="1"/>
    <xf numFmtId="165" fontId="35" fillId="0" borderId="0" xfId="1" applyNumberFormat="1" applyFont="1"/>
    <xf numFmtId="165" fontId="78" fillId="0" borderId="0" xfId="1" applyNumberFormat="1" applyFont="1"/>
    <xf numFmtId="0" fontId="64" fillId="5" borderId="31" xfId="0" applyFont="1" applyFill="1" applyBorder="1" applyAlignment="1">
      <alignment horizontal="right"/>
    </xf>
    <xf numFmtId="0" fontId="56" fillId="4" borderId="12" xfId="0" applyFont="1" applyFill="1" applyBorder="1"/>
    <xf numFmtId="0" fontId="62" fillId="0" borderId="0" xfId="0" applyFont="1" applyAlignment="1">
      <alignment horizontal="center"/>
    </xf>
    <xf numFmtId="0" fontId="0" fillId="4" borderId="14" xfId="0" applyFill="1" applyBorder="1"/>
    <xf numFmtId="0" fontId="6" fillId="4" borderId="0" xfId="5" applyFill="1" applyBorder="1"/>
    <xf numFmtId="0" fontId="6" fillId="3" borderId="29" xfId="5" applyFill="1" applyBorder="1"/>
    <xf numFmtId="0" fontId="6" fillId="3" borderId="30" xfId="5" applyFill="1" applyBorder="1"/>
    <xf numFmtId="0" fontId="34" fillId="3" borderId="28" xfId="5" applyFont="1" applyFill="1" applyBorder="1"/>
    <xf numFmtId="0" fontId="57" fillId="4" borderId="14" xfId="0" applyFont="1" applyFill="1" applyBorder="1" applyAlignment="1">
      <alignment horizontal="center"/>
    </xf>
    <xf numFmtId="0" fontId="70" fillId="4" borderId="12" xfId="0" applyFont="1" applyFill="1" applyBorder="1"/>
    <xf numFmtId="165" fontId="77" fillId="0" borderId="9" xfId="0" applyNumberFormat="1" applyFont="1" applyBorder="1"/>
    <xf numFmtId="165" fontId="14" fillId="0" borderId="0" xfId="1" applyNumberFormat="1" applyFont="1" applyFill="1" applyBorder="1"/>
    <xf numFmtId="0" fontId="64" fillId="5" borderId="31" xfId="0" applyFont="1" applyFill="1" applyBorder="1" applyAlignment="1">
      <alignment horizontal="center"/>
    </xf>
    <xf numFmtId="0" fontId="0" fillId="0" borderId="13" xfId="0" applyBorder="1" applyAlignment="1">
      <alignment horizontal="center"/>
    </xf>
    <xf numFmtId="0" fontId="0" fillId="0" borderId="14" xfId="0" applyBorder="1" applyAlignment="1">
      <alignment horizontal="center"/>
    </xf>
    <xf numFmtId="0" fontId="5" fillId="0" borderId="17" xfId="0" applyFont="1" applyBorder="1"/>
    <xf numFmtId="0" fontId="5" fillId="0" borderId="13" xfId="0" applyFont="1" applyBorder="1" applyAlignment="1">
      <alignment horizontal="center"/>
    </xf>
    <xf numFmtId="0" fontId="5" fillId="0" borderId="14" xfId="0" applyFont="1" applyBorder="1" applyAlignment="1">
      <alignment horizontal="center"/>
    </xf>
    <xf numFmtId="0" fontId="55" fillId="0" borderId="0" xfId="0" applyFont="1" applyAlignment="1">
      <alignment horizontal="center"/>
    </xf>
    <xf numFmtId="0" fontId="55" fillId="0" borderId="13" xfId="0" applyFont="1" applyBorder="1" applyAlignment="1">
      <alignment horizontal="center"/>
    </xf>
    <xf numFmtId="165" fontId="35" fillId="0" borderId="0" xfId="1" applyNumberFormat="1" applyFont="1" applyAlignment="1">
      <alignment horizontal="center"/>
    </xf>
    <xf numFmtId="165" fontId="76" fillId="0" borderId="0" xfId="1" applyNumberFormat="1" applyFont="1" applyAlignment="1">
      <alignment horizontal="center"/>
    </xf>
    <xf numFmtId="41" fontId="26" fillId="0" borderId="0" xfId="1" applyNumberFormat="1" applyFont="1" applyBorder="1"/>
    <xf numFmtId="41" fontId="14" fillId="0" borderId="12" xfId="1" applyNumberFormat="1" applyFont="1" applyBorder="1"/>
    <xf numFmtId="41" fontId="14" fillId="0" borderId="14" xfId="1" applyNumberFormat="1" applyFont="1" applyFill="1" applyBorder="1"/>
    <xf numFmtId="41" fontId="26" fillId="0" borderId="0" xfId="1" applyNumberFormat="1" applyFont="1" applyFill="1" applyBorder="1"/>
    <xf numFmtId="41" fontId="26" fillId="0" borderId="1" xfId="1" applyNumberFormat="1" applyFont="1" applyBorder="1"/>
    <xf numFmtId="41" fontId="26" fillId="0" borderId="1" xfId="1" applyNumberFormat="1" applyFont="1" applyFill="1" applyBorder="1"/>
    <xf numFmtId="41" fontId="14" fillId="0" borderId="0" xfId="1" applyNumberFormat="1" applyFont="1" applyBorder="1"/>
    <xf numFmtId="41" fontId="14" fillId="0" borderId="0" xfId="1" applyNumberFormat="1" applyFont="1" applyFill="1" applyBorder="1"/>
    <xf numFmtId="41" fontId="14" fillId="0" borderId="13" xfId="1" applyNumberFormat="1" applyFont="1" applyFill="1" applyBorder="1"/>
    <xf numFmtId="41" fontId="31" fillId="0" borderId="0" xfId="1" applyNumberFormat="1" applyFont="1" applyFill="1" applyBorder="1"/>
    <xf numFmtId="41" fontId="31" fillId="0" borderId="1" xfId="1" applyNumberFormat="1" applyFont="1" applyFill="1" applyBorder="1"/>
    <xf numFmtId="41" fontId="27" fillId="0" borderId="0" xfId="1" applyNumberFormat="1" applyFont="1" applyFill="1" applyBorder="1"/>
    <xf numFmtId="41" fontId="28" fillId="0" borderId="8" xfId="1" applyNumberFormat="1" applyFont="1" applyBorder="1"/>
    <xf numFmtId="41" fontId="26" fillId="0" borderId="9" xfId="1" applyNumberFormat="1" applyFont="1" applyBorder="1"/>
    <xf numFmtId="41" fontId="26" fillId="0" borderId="8" xfId="1" applyNumberFormat="1" applyFont="1" applyBorder="1"/>
    <xf numFmtId="41" fontId="26" fillId="0" borderId="10" xfId="1" applyNumberFormat="1" applyFont="1" applyBorder="1"/>
    <xf numFmtId="41" fontId="26" fillId="0" borderId="11" xfId="1" applyNumberFormat="1" applyFont="1" applyBorder="1"/>
    <xf numFmtId="41" fontId="14" fillId="0" borderId="8" xfId="1" applyNumberFormat="1" applyFont="1" applyBorder="1"/>
    <xf numFmtId="41" fontId="26" fillId="7" borderId="13" xfId="1" applyNumberFormat="1" applyFont="1" applyFill="1" applyBorder="1"/>
    <xf numFmtId="41" fontId="26" fillId="7" borderId="14" xfId="1" applyNumberFormat="1" applyFont="1" applyFill="1" applyBorder="1"/>
    <xf numFmtId="41" fontId="39" fillId="7" borderId="12" xfId="1" applyNumberFormat="1" applyFont="1" applyFill="1" applyBorder="1"/>
    <xf numFmtId="41" fontId="39" fillId="7" borderId="31" xfId="1" applyNumberFormat="1" applyFont="1" applyFill="1" applyBorder="1"/>
    <xf numFmtId="41" fontId="31" fillId="0" borderId="8" xfId="1" applyNumberFormat="1" applyFont="1" applyBorder="1"/>
    <xf numFmtId="41" fontId="31" fillId="0" borderId="10" xfId="1" applyNumberFormat="1" applyFont="1" applyBorder="1"/>
    <xf numFmtId="41" fontId="26" fillId="0" borderId="9" xfId="1" applyNumberFormat="1" applyFont="1" applyFill="1" applyBorder="1"/>
    <xf numFmtId="41" fontId="14" fillId="0" borderId="10" xfId="1" applyNumberFormat="1" applyFont="1" applyBorder="1"/>
    <xf numFmtId="41" fontId="14" fillId="0" borderId="17" xfId="1" applyNumberFormat="1" applyFont="1" applyBorder="1" applyAlignment="1">
      <alignment horizontal="right"/>
    </xf>
    <xf numFmtId="41" fontId="14" fillId="0" borderId="6" xfId="1" applyNumberFormat="1" applyFont="1" applyFill="1" applyBorder="1" applyAlignment="1">
      <alignment horizontal="right"/>
    </xf>
    <xf numFmtId="41" fontId="14" fillId="0" borderId="6" xfId="1" applyNumberFormat="1" applyFont="1" applyBorder="1" applyAlignment="1">
      <alignment horizontal="right"/>
    </xf>
    <xf numFmtId="41" fontId="14" fillId="0" borderId="7" xfId="1" applyNumberFormat="1" applyFont="1" applyFill="1" applyBorder="1" applyAlignment="1">
      <alignment horizontal="right"/>
    </xf>
    <xf numFmtId="41" fontId="14" fillId="7" borderId="13" xfId="1" applyNumberFormat="1" applyFont="1" applyFill="1" applyBorder="1" applyAlignment="1">
      <alignment horizontal="center"/>
    </xf>
    <xf numFmtId="164" fontId="79" fillId="0" borderId="0" xfId="1" applyFont="1" applyBorder="1" applyAlignment="1">
      <alignment horizontal="right"/>
    </xf>
    <xf numFmtId="164" fontId="79" fillId="0" borderId="9" xfId="1" applyFont="1" applyBorder="1" applyAlignment="1">
      <alignment horizontal="right"/>
    </xf>
    <xf numFmtId="41" fontId="26" fillId="2" borderId="0" xfId="1" applyNumberFormat="1" applyFont="1" applyFill="1" applyBorder="1"/>
    <xf numFmtId="41" fontId="26" fillId="3" borderId="0" xfId="1" applyNumberFormat="1" applyFont="1" applyFill="1" applyBorder="1"/>
    <xf numFmtId="41" fontId="31" fillId="3" borderId="0" xfId="1" applyNumberFormat="1" applyFont="1" applyFill="1" applyBorder="1"/>
    <xf numFmtId="41" fontId="39" fillId="0" borderId="28" xfId="1" applyNumberFormat="1" applyFont="1" applyBorder="1"/>
    <xf numFmtId="41" fontId="39" fillId="0" borderId="30" xfId="1" applyNumberFormat="1" applyFont="1" applyBorder="1"/>
    <xf numFmtId="41" fontId="14" fillId="0" borderId="9" xfId="1" applyNumberFormat="1" applyFont="1" applyBorder="1"/>
    <xf numFmtId="41" fontId="26" fillId="13" borderId="0" xfId="1" applyNumberFormat="1" applyFont="1" applyFill="1" applyBorder="1"/>
    <xf numFmtId="164" fontId="79" fillId="0" borderId="0" xfId="1" applyFont="1" applyFill="1" applyAlignment="1">
      <alignment horizontal="right"/>
    </xf>
    <xf numFmtId="41" fontId="26" fillId="0" borderId="0" xfId="1" applyNumberFormat="1" applyFont="1" applyBorder="1" applyAlignment="1">
      <alignment horizontal="right"/>
    </xf>
    <xf numFmtId="41" fontId="26" fillId="0" borderId="9" xfId="1" applyNumberFormat="1" applyFont="1" applyBorder="1" applyAlignment="1">
      <alignment horizontal="right"/>
    </xf>
    <xf numFmtId="41" fontId="14" fillId="0" borderId="1" xfId="1" applyNumberFormat="1" applyFont="1" applyFill="1" applyBorder="1"/>
    <xf numFmtId="165" fontId="79" fillId="0" borderId="9" xfId="1" applyNumberFormat="1" applyFont="1" applyBorder="1" applyAlignment="1">
      <alignment horizontal="right"/>
    </xf>
    <xf numFmtId="41" fontId="39" fillId="7" borderId="13" xfId="1" applyNumberFormat="1" applyFont="1" applyFill="1" applyBorder="1"/>
    <xf numFmtId="41" fontId="51" fillId="0" borderId="8" xfId="1" applyNumberFormat="1" applyFont="1" applyBorder="1"/>
    <xf numFmtId="0" fontId="11" fillId="4" borderId="35" xfId="0" applyFont="1" applyFill="1" applyBorder="1" applyAlignment="1">
      <alignment horizontal="center" vertical="center"/>
    </xf>
    <xf numFmtId="0" fontId="11" fillId="4" borderId="0" xfId="0" applyFont="1" applyFill="1" applyAlignment="1">
      <alignment horizontal="center" vertical="center"/>
    </xf>
    <xf numFmtId="0" fontId="12" fillId="4" borderId="0" xfId="0" applyFont="1" applyFill="1" applyAlignment="1">
      <alignment horizontal="center"/>
    </xf>
    <xf numFmtId="0" fontId="17" fillId="0" borderId="12" xfId="0" applyFont="1" applyBorder="1" applyAlignment="1">
      <alignment horizontal="center"/>
    </xf>
    <xf numFmtId="0" fontId="17" fillId="0" borderId="13" xfId="0" applyFont="1" applyBorder="1" applyAlignment="1">
      <alignment horizontal="center"/>
    </xf>
    <xf numFmtId="0" fontId="17" fillId="0" borderId="14" xfId="0" applyFont="1" applyBorder="1" applyAlignment="1">
      <alignment horizontal="center"/>
    </xf>
    <xf numFmtId="0" fontId="24" fillId="0" borderId="28" xfId="0" applyFont="1" applyBorder="1" applyAlignment="1">
      <alignment horizontal="center"/>
    </xf>
    <xf numFmtId="0" fontId="24" fillId="0" borderId="29" xfId="0" applyFont="1" applyBorder="1" applyAlignment="1">
      <alignment horizontal="center"/>
    </xf>
    <xf numFmtId="0" fontId="24" fillId="0" borderId="30" xfId="0" applyFont="1" applyBorder="1" applyAlignment="1">
      <alignment horizontal="center"/>
    </xf>
    <xf numFmtId="0" fontId="27" fillId="0" borderId="28" xfId="0" applyFont="1" applyBorder="1" applyAlignment="1">
      <alignment horizontal="center"/>
    </xf>
    <xf numFmtId="0" fontId="27" fillId="0" borderId="29" xfId="0" applyFont="1" applyBorder="1" applyAlignment="1">
      <alignment horizontal="center"/>
    </xf>
    <xf numFmtId="0" fontId="27" fillId="0" borderId="36" xfId="0" applyFont="1" applyBorder="1" applyAlignment="1">
      <alignment horizontal="center"/>
    </xf>
    <xf numFmtId="0" fontId="14" fillId="5" borderId="34" xfId="0" applyFont="1" applyFill="1" applyBorder="1" applyAlignment="1">
      <alignment horizontal="center"/>
    </xf>
    <xf numFmtId="0" fontId="14" fillId="5" borderId="35" xfId="0" applyFont="1" applyFill="1" applyBorder="1" applyAlignment="1">
      <alignment horizontal="center"/>
    </xf>
    <xf numFmtId="0" fontId="14" fillId="5" borderId="36" xfId="0" applyFont="1" applyFill="1" applyBorder="1" applyAlignment="1">
      <alignment horizontal="center"/>
    </xf>
    <xf numFmtId="0" fontId="14" fillId="5" borderId="28" xfId="0" applyFont="1" applyFill="1" applyBorder="1" applyAlignment="1">
      <alignment horizontal="center"/>
    </xf>
    <xf numFmtId="0" fontId="14" fillId="5" borderId="29" xfId="0" applyFont="1" applyFill="1" applyBorder="1" applyAlignment="1">
      <alignment horizontal="center"/>
    </xf>
    <xf numFmtId="0" fontId="14" fillId="5" borderId="30" xfId="0" applyFont="1" applyFill="1" applyBorder="1" applyAlignment="1">
      <alignment horizontal="center"/>
    </xf>
    <xf numFmtId="0" fontId="14" fillId="5" borderId="45" xfId="0" applyFont="1" applyFill="1" applyBorder="1" applyAlignment="1">
      <alignment horizontal="center" vertical="center"/>
    </xf>
    <xf numFmtId="0" fontId="14" fillId="5" borderId="32" xfId="0" applyFont="1" applyFill="1" applyBorder="1" applyAlignment="1">
      <alignment horizontal="center" vertical="center"/>
    </xf>
    <xf numFmtId="0" fontId="14" fillId="5" borderId="46" xfId="0" applyFont="1" applyFill="1" applyBorder="1" applyAlignment="1">
      <alignment horizontal="center" vertical="center"/>
    </xf>
    <xf numFmtId="0" fontId="14" fillId="5" borderId="28" xfId="0" applyFont="1" applyFill="1" applyBorder="1" applyAlignment="1">
      <alignment horizontal="center" vertical="center"/>
    </xf>
    <xf numFmtId="0" fontId="14" fillId="5" borderId="29" xfId="0" applyFont="1" applyFill="1" applyBorder="1" applyAlignment="1">
      <alignment horizontal="center" vertical="center"/>
    </xf>
    <xf numFmtId="0" fontId="14" fillId="5" borderId="30" xfId="0" applyFont="1" applyFill="1" applyBorder="1" applyAlignment="1">
      <alignment horizontal="center" vertical="center"/>
    </xf>
    <xf numFmtId="0" fontId="14" fillId="5" borderId="45" xfId="0" applyFont="1" applyFill="1" applyBorder="1" applyAlignment="1">
      <alignment horizontal="center" vertical="center" wrapText="1"/>
    </xf>
    <xf numFmtId="0" fontId="14" fillId="5" borderId="32" xfId="0" applyFont="1" applyFill="1" applyBorder="1" applyAlignment="1">
      <alignment horizontal="center" vertical="center" wrapText="1"/>
    </xf>
    <xf numFmtId="0" fontId="14" fillId="5" borderId="46" xfId="0" applyFont="1" applyFill="1" applyBorder="1" applyAlignment="1">
      <alignment horizontal="center" vertical="center" wrapText="1"/>
    </xf>
    <xf numFmtId="0" fontId="14" fillId="5" borderId="45" xfId="0" applyFont="1" applyFill="1" applyBorder="1" applyAlignment="1">
      <alignment horizontal="center"/>
    </xf>
    <xf numFmtId="0" fontId="14" fillId="5" borderId="32" xfId="0" applyFont="1" applyFill="1" applyBorder="1" applyAlignment="1">
      <alignment horizontal="center"/>
    </xf>
    <xf numFmtId="0" fontId="14" fillId="5" borderId="46" xfId="0" applyFont="1" applyFill="1" applyBorder="1" applyAlignment="1">
      <alignment horizontal="center"/>
    </xf>
    <xf numFmtId="38" fontId="8" fillId="9" borderId="34" xfId="0" applyNumberFormat="1" applyFont="1" applyFill="1" applyBorder="1" applyAlignment="1">
      <alignment horizontal="center"/>
    </xf>
    <xf numFmtId="38" fontId="8" fillId="9" borderId="36" xfId="0" applyNumberFormat="1" applyFont="1" applyFill="1" applyBorder="1" applyAlignment="1">
      <alignment horizontal="center"/>
    </xf>
    <xf numFmtId="0" fontId="62" fillId="0" borderId="12" xfId="0" applyFont="1" applyBorder="1" applyAlignment="1">
      <alignment horizontal="center"/>
    </xf>
    <xf numFmtId="0" fontId="62" fillId="0" borderId="13" xfId="0" applyFont="1" applyBorder="1" applyAlignment="1">
      <alignment horizontal="center"/>
    </xf>
    <xf numFmtId="0" fontId="62" fillId="0" borderId="14" xfId="0" applyFont="1" applyBorder="1" applyAlignment="1">
      <alignment horizontal="center"/>
    </xf>
    <xf numFmtId="0" fontId="14" fillId="0" borderId="5" xfId="0" applyFont="1" applyBorder="1" applyAlignment="1">
      <alignment horizontal="center" vertical="center"/>
    </xf>
    <xf numFmtId="0" fontId="14" fillId="0" borderId="8" xfId="0" applyFont="1" applyBorder="1" applyAlignment="1">
      <alignment horizontal="center" vertical="center"/>
    </xf>
    <xf numFmtId="0" fontId="14" fillId="0" borderId="10" xfId="0" applyFont="1" applyBorder="1" applyAlignment="1">
      <alignment horizontal="center" vertical="center"/>
    </xf>
    <xf numFmtId="0" fontId="26" fillId="0" borderId="17" xfId="0" applyFont="1" applyBorder="1" applyAlignment="1">
      <alignment horizontal="center" vertical="top"/>
    </xf>
    <xf numFmtId="0" fontId="26" fillId="0" borderId="21" xfId="0" applyFont="1" applyBorder="1" applyAlignment="1">
      <alignment horizontal="center" vertical="top"/>
    </xf>
    <xf numFmtId="0" fontId="14" fillId="0" borderId="17" xfId="0" applyFont="1" applyBorder="1" applyAlignment="1">
      <alignment horizontal="left" vertical="center" wrapText="1"/>
    </xf>
    <xf numFmtId="0" fontId="14" fillId="0" borderId="18" xfId="0" applyFont="1" applyBorder="1" applyAlignment="1">
      <alignment horizontal="left" vertical="center" wrapText="1"/>
    </xf>
    <xf numFmtId="0" fontId="14" fillId="0" borderId="21" xfId="0" applyFont="1" applyBorder="1" applyAlignment="1">
      <alignment horizontal="left" vertical="center" wrapText="1"/>
    </xf>
    <xf numFmtId="0" fontId="14" fillId="0" borderId="17" xfId="0" applyFont="1" applyBorder="1" applyAlignment="1">
      <alignment horizontal="center" vertical="center"/>
    </xf>
    <xf numFmtId="0" fontId="14" fillId="0" borderId="18" xfId="0" applyFont="1" applyBorder="1" applyAlignment="1">
      <alignment horizontal="center" vertical="center"/>
    </xf>
    <xf numFmtId="0" fontId="14" fillId="0" borderId="21" xfId="0" applyFont="1" applyBorder="1" applyAlignment="1">
      <alignment horizontal="center" vertical="center"/>
    </xf>
    <xf numFmtId="0" fontId="26" fillId="0" borderId="17" xfId="0" applyFont="1" applyBorder="1" applyAlignment="1">
      <alignment horizontal="center" vertical="center"/>
    </xf>
    <xf numFmtId="0" fontId="26" fillId="0" borderId="21" xfId="0" applyFont="1" applyBorder="1" applyAlignment="1">
      <alignment horizontal="center" vertical="center"/>
    </xf>
    <xf numFmtId="0" fontId="26" fillId="0" borderId="18" xfId="0" applyFont="1" applyBorder="1" applyAlignment="1">
      <alignment horizontal="center" vertical="center"/>
    </xf>
    <xf numFmtId="0" fontId="26" fillId="0" borderId="6" xfId="0" applyFont="1" applyBorder="1" applyAlignment="1">
      <alignment horizontal="center" vertical="center"/>
    </xf>
    <xf numFmtId="0" fontId="26" fillId="0" borderId="0" xfId="0" applyFont="1" applyAlignment="1">
      <alignment horizontal="center" vertical="center"/>
    </xf>
    <xf numFmtId="0" fontId="26" fillId="0" borderId="1" xfId="0" applyFont="1" applyBorder="1" applyAlignment="1">
      <alignment horizontal="center" vertical="center"/>
    </xf>
    <xf numFmtId="0" fontId="26" fillId="0" borderId="17" xfId="0" applyFont="1" applyBorder="1" applyAlignment="1">
      <alignment vertical="center"/>
    </xf>
    <xf numFmtId="0" fontId="26" fillId="0" borderId="18" xfId="0" applyFont="1" applyBorder="1" applyAlignment="1">
      <alignment vertical="center"/>
    </xf>
    <xf numFmtId="0" fontId="26" fillId="0" borderId="21" xfId="0" applyFont="1" applyBorder="1" applyAlignment="1">
      <alignment vertical="center"/>
    </xf>
    <xf numFmtId="0" fontId="26" fillId="0" borderId="5" xfId="0" applyFont="1" applyBorder="1" applyAlignment="1">
      <alignment horizontal="center" vertical="center"/>
    </xf>
    <xf numFmtId="0" fontId="26" fillId="0" borderId="10" xfId="0" applyFont="1" applyBorder="1" applyAlignment="1">
      <alignment horizontal="center" vertical="center"/>
    </xf>
    <xf numFmtId="0" fontId="14" fillId="0" borderId="9" xfId="0" applyFont="1" applyBorder="1" applyAlignment="1">
      <alignment horizontal="center" vertical="center"/>
    </xf>
    <xf numFmtId="0" fontId="26" fillId="4" borderId="17" xfId="0" applyFont="1" applyFill="1" applyBorder="1" applyAlignment="1">
      <alignment horizontal="center" vertical="center"/>
    </xf>
    <xf numFmtId="0" fontId="26" fillId="4" borderId="21" xfId="0" applyFont="1" applyFill="1" applyBorder="1" applyAlignment="1">
      <alignment horizontal="center" vertical="center"/>
    </xf>
  </cellXfs>
  <cellStyles count="16">
    <cellStyle name="Comma" xfId="1" builtinId="3"/>
    <cellStyle name="Comma 2" xfId="9" xr:uid="{BB3FBBFA-B6B8-4AE2-BC38-266976303332}"/>
    <cellStyle name="Comma 2 2" xfId="14" xr:uid="{11B3A5AD-7E8E-4204-BDCF-608E394F5B72}"/>
    <cellStyle name="Heading 3" xfId="2" builtinId="18" customBuiltin="1"/>
    <cellStyle name="Heading 3 2" xfId="10" xr:uid="{20A3E8E3-AA7E-49DA-80C0-FBE42A997F39}"/>
    <cellStyle name="Heading 4" xfId="3" builtinId="19" customBuiltin="1"/>
    <cellStyle name="Heading 4 2" xfId="12" xr:uid="{277D436D-0F03-4832-9CA3-1CEFE425B181}"/>
    <cellStyle name="Hyperlink" xfId="5" builtinId="8"/>
    <cellStyle name="Normal" xfId="0" builtinId="0"/>
    <cellStyle name="Normal 2" xfId="7" xr:uid="{B50DC4E3-D686-46FF-93D3-FECC01B1D91E}"/>
    <cellStyle name="Normal 2 10" xfId="15" xr:uid="{E8B1FA8F-E9DF-4A3E-B7FC-57DFAAC92F04}"/>
    <cellStyle name="Normal 3" xfId="8" xr:uid="{E40D117A-BCE6-452E-BAFF-C2DC227A9C16}"/>
    <cellStyle name="Normal 3 2" xfId="13" xr:uid="{A3CCE9FC-7270-4C6F-98A4-08A0267EDD20}"/>
    <cellStyle name="Percent" xfId="6" builtinId="5"/>
    <cellStyle name="Total" xfId="4" builtinId="25" customBuiltin="1"/>
    <cellStyle name="Total 2" xfId="11" xr:uid="{F7679B04-622D-45A1-9AFE-0A9DF48E2A43}"/>
  </cellStyles>
  <dxfs count="2">
    <dxf>
      <font>
        <b/>
        <i/>
        <color theme="0"/>
      </font>
      <fill>
        <patternFill>
          <bgColor rgb="FFFF0000"/>
        </patternFill>
      </fill>
    </dxf>
    <dxf>
      <font>
        <b val="0"/>
        <i/>
        <color theme="0"/>
      </font>
      <fill>
        <patternFill>
          <bgColor rgb="FF00B050"/>
        </patternFill>
      </fill>
    </dxf>
  </dxfs>
  <tableStyles count="0" defaultTableStyle="TableStyleMedium2" defaultPivotStyle="PivotStyleLight16"/>
  <colors>
    <mruColors>
      <color rgb="FFFFCCCC"/>
      <color rgb="FFFFCCFF"/>
      <color rgb="FFFFD85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17/10/relationships/person" Target="persons/person.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7955087460975972E-2"/>
          <c:y val="4.4740158858727598E-2"/>
          <c:w val="0.90165440438625077"/>
          <c:h val="0.88230492843606989"/>
        </c:manualLayout>
      </c:layout>
      <c:barChart>
        <c:barDir val="col"/>
        <c:grouping val="clustered"/>
        <c:varyColors val="0"/>
        <c:ser>
          <c:idx val="0"/>
          <c:order val="0"/>
          <c:spPr>
            <a:solidFill>
              <a:schemeClr val="accent2">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trendline>
            <c:spPr>
              <a:ln w="19050" cap="rnd">
                <a:solidFill>
                  <a:schemeClr val="accent1"/>
                </a:solidFill>
              </a:ln>
              <a:effectLst/>
            </c:spPr>
            <c:trendlineType val="poly"/>
            <c:order val="6"/>
            <c:dispRSqr val="0"/>
            <c:dispEq val="0"/>
          </c:trendline>
          <c:cat>
            <c:strRef>
              <c:f>' Ratios '!$C$3:$J$3</c:f>
              <c:strCache>
                <c:ptCount val="8"/>
                <c:pt idx="0">
                  <c:v>2017</c:v>
                </c:pt>
                <c:pt idx="1">
                  <c:v>2018</c:v>
                </c:pt>
                <c:pt idx="2">
                  <c:v>2019</c:v>
                </c:pt>
                <c:pt idx="3">
                  <c:v>2020</c:v>
                </c:pt>
                <c:pt idx="4">
                  <c:v>2021</c:v>
                </c:pt>
                <c:pt idx="5">
                  <c:v>2022</c:v>
                </c:pt>
                <c:pt idx="6">
                  <c:v>2023</c:v>
                </c:pt>
                <c:pt idx="7">
                  <c:v>2024 (6m)</c:v>
                </c:pt>
              </c:strCache>
            </c:strRef>
          </c:cat>
          <c:val>
            <c:numRef>
              <c:f>' Ratios '!$C$4:$J$4</c:f>
              <c:numCache>
                <c:formatCode>0.00%</c:formatCode>
                <c:ptCount val="8"/>
                <c:pt idx="0">
                  <c:v>4.2591250795467002E-2</c:v>
                </c:pt>
                <c:pt idx="1">
                  <c:v>0.21683690860613267</c:v>
                </c:pt>
                <c:pt idx="2">
                  <c:v>0.1500540505286071</c:v>
                </c:pt>
                <c:pt idx="3">
                  <c:v>9.6299781812622096E-2</c:v>
                </c:pt>
                <c:pt idx="4">
                  <c:v>0.24474564976242913</c:v>
                </c:pt>
                <c:pt idx="5">
                  <c:v>0.35443743971438801</c:v>
                </c:pt>
                <c:pt idx="6">
                  <c:v>6.7011355279394724E-2</c:v>
                </c:pt>
                <c:pt idx="7">
                  <c:v>0.10256922720810693</c:v>
                </c:pt>
              </c:numCache>
            </c:numRef>
          </c:val>
          <c:extLst>
            <c:ext xmlns:c16="http://schemas.microsoft.com/office/drawing/2014/chart" uri="{C3380CC4-5D6E-409C-BE32-E72D297353CC}">
              <c16:uniqueId val="{00000000-9791-42ED-80DA-C6BF5F39A968}"/>
            </c:ext>
          </c:extLst>
        </c:ser>
        <c:dLbls>
          <c:dLblPos val="outEnd"/>
          <c:showLegendKey val="0"/>
          <c:showVal val="1"/>
          <c:showCatName val="0"/>
          <c:showSerName val="0"/>
          <c:showPercent val="0"/>
          <c:showBubbleSize val="0"/>
        </c:dLbls>
        <c:gapWidth val="267"/>
        <c:overlap val="-43"/>
        <c:axId val="1281204767"/>
        <c:axId val="1281225151"/>
      </c:barChart>
      <c:catAx>
        <c:axId val="1281204767"/>
        <c:scaling>
          <c:orientation val="minMax"/>
        </c:scaling>
        <c:delete val="0"/>
        <c:axPos val="b"/>
        <c:majorGridlines>
          <c:spPr>
            <a:ln w="9525" cap="flat" cmpd="sng" algn="ctr">
              <a:solidFill>
                <a:schemeClr val="dk1">
                  <a:lumMod val="15000"/>
                  <a:lumOff val="85000"/>
                </a:schemeClr>
              </a:solidFill>
              <a:round/>
            </a:ln>
            <a:effectLst/>
          </c:spPr>
        </c:majorGridlines>
        <c:title>
          <c:tx>
            <c:rich>
              <a:bodyPr rot="0" spcFirstLastPara="1" vertOverflow="ellipsis" vert="horz" wrap="square" anchor="ctr" anchorCtr="1"/>
              <a:lstStyle/>
              <a:p>
                <a:pPr>
                  <a:defRPr sz="1400" b="1" i="0" u="none" strike="noStrike" kern="1200" baseline="0">
                    <a:solidFill>
                      <a:schemeClr val="dk1">
                        <a:lumMod val="65000"/>
                        <a:lumOff val="35000"/>
                      </a:schemeClr>
                    </a:solidFill>
                    <a:latin typeface="+mn-lt"/>
                    <a:ea typeface="+mn-ea"/>
                    <a:cs typeface="+mn-cs"/>
                  </a:defRPr>
                </a:pPr>
                <a:r>
                  <a:rPr lang="en-US" sz="1400"/>
                  <a:t>Year </a:t>
                </a:r>
              </a:p>
            </c:rich>
          </c:tx>
          <c:layout>
            <c:manualLayout>
              <c:xMode val="edge"/>
              <c:yMode val="edge"/>
              <c:x val="0.46765710725976528"/>
              <c:y val="0.21193638171620643"/>
            </c:manualLayout>
          </c:layout>
          <c:overlay val="0"/>
          <c:spPr>
            <a:noFill/>
            <a:ln>
              <a:noFill/>
            </a:ln>
            <a:effectLst/>
          </c:spPr>
          <c:txPr>
            <a:bodyPr rot="0" spcFirstLastPara="1" vertOverflow="ellipsis" vert="horz" wrap="square" anchor="ctr" anchorCtr="1"/>
            <a:lstStyle/>
            <a:p>
              <a:pPr>
                <a:defRPr sz="1400" b="1" i="0" u="none" strike="noStrike" kern="1200" baseline="0">
                  <a:solidFill>
                    <a:schemeClr val="dk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1" i="0" u="none" strike="noStrike" kern="1200" cap="none" spc="0" normalizeH="0" baseline="0">
                <a:solidFill>
                  <a:schemeClr val="dk1">
                    <a:lumMod val="65000"/>
                    <a:lumOff val="35000"/>
                  </a:schemeClr>
                </a:solidFill>
                <a:latin typeface="+mn-lt"/>
                <a:ea typeface="+mn-ea"/>
                <a:cs typeface="+mn-cs"/>
              </a:defRPr>
            </a:pPr>
            <a:endParaRPr lang="en-US"/>
          </a:p>
        </c:txPr>
        <c:crossAx val="1281225151"/>
        <c:crosses val="autoZero"/>
        <c:auto val="1"/>
        <c:lblAlgn val="ctr"/>
        <c:lblOffset val="100"/>
        <c:noMultiLvlLbl val="0"/>
      </c:catAx>
      <c:valAx>
        <c:axId val="1281225151"/>
        <c:scaling>
          <c:orientation val="minMax"/>
        </c:scaling>
        <c:delete val="0"/>
        <c:axPos val="l"/>
        <c:majorGridlines>
          <c:spPr>
            <a:ln w="9525" cap="flat" cmpd="sng" algn="ctr">
              <a:solidFill>
                <a:schemeClr val="dk1">
                  <a:lumMod val="15000"/>
                  <a:lumOff val="85000"/>
                </a:schemeClr>
              </a:solidFill>
              <a:round/>
            </a:ln>
            <a:effectLst/>
          </c:spPr>
        </c:majorGridlines>
        <c:title>
          <c:tx>
            <c:rich>
              <a:bodyPr rot="-5400000" spcFirstLastPara="1" vertOverflow="ellipsis" vert="horz" wrap="square" anchor="ctr" anchorCtr="1"/>
              <a:lstStyle/>
              <a:p>
                <a:pPr>
                  <a:defRPr sz="1200" b="1" i="0" u="none" strike="noStrike" kern="1200" baseline="0">
                    <a:solidFill>
                      <a:schemeClr val="dk1">
                        <a:lumMod val="65000"/>
                        <a:lumOff val="35000"/>
                      </a:schemeClr>
                    </a:solidFill>
                    <a:latin typeface="+mn-lt"/>
                    <a:ea typeface="+mn-ea"/>
                    <a:cs typeface="+mn-cs"/>
                  </a:defRPr>
                </a:pPr>
                <a:r>
                  <a:rPr lang="en-US" sz="1200"/>
                  <a:t>%  Margin </a:t>
                </a:r>
              </a:p>
            </c:rich>
          </c:tx>
          <c:layout>
            <c:manualLayout>
              <c:xMode val="edge"/>
              <c:yMode val="edge"/>
              <c:x val="0.11492831867926723"/>
              <c:y val="0.33455043186041289"/>
            </c:manualLayout>
          </c:layout>
          <c:overlay val="0"/>
          <c:spPr>
            <a:noFill/>
            <a:ln>
              <a:noFill/>
            </a:ln>
            <a:effectLst/>
          </c:spPr>
          <c:txPr>
            <a:bodyPr rot="-5400000" spcFirstLastPara="1" vertOverflow="ellipsis" vert="horz" wrap="square" anchor="ctr" anchorCtr="1"/>
            <a:lstStyle/>
            <a:p>
              <a:pPr>
                <a:defRPr sz="1200" b="1" i="0" u="none" strike="noStrike" kern="1200" baseline="0">
                  <a:solidFill>
                    <a:schemeClr val="dk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endParaRPr lang="en-US"/>
          </a:p>
        </c:txPr>
        <c:crossAx val="1281204767"/>
        <c:crosses val="autoZero"/>
        <c:crossBetween val="between"/>
      </c:valAx>
      <c:spPr>
        <a:pattFill prst="ltDnDiag">
          <a:fgClr>
            <a:schemeClr val="dk1">
              <a:lumMod val="15000"/>
              <a:lumOff val="85000"/>
            </a:schemeClr>
          </a:fgClr>
          <a:bgClr>
            <a:schemeClr val="lt1"/>
          </a:bgClr>
        </a:pattFill>
        <a:ln>
          <a:noFill/>
        </a:ln>
        <a:effectLst/>
      </c:spPr>
    </c:plotArea>
    <c:plotVisOnly val="1"/>
    <c:dispBlanksAs val="gap"/>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r>
              <a:rPr lang="en-US"/>
              <a:t>% Op Margin Trend</a:t>
            </a:r>
          </a:p>
        </c:rich>
      </c:tx>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lotArea>
      <c:layout/>
      <c:barChart>
        <c:barDir val="col"/>
        <c:grouping val="clustered"/>
        <c:varyColors val="0"/>
        <c:ser>
          <c:idx val="0"/>
          <c:order val="0"/>
          <c:spPr>
            <a:solidFill>
              <a:schemeClr val="accent5">
                <a:lumMod val="60000"/>
                <a:lumOff val="40000"/>
              </a:schemeClr>
            </a:solidFill>
            <a:ln>
              <a:noFill/>
            </a:ln>
            <a:effectLst>
              <a:outerShdw blurRad="76200" dir="18900000" sy="23000" kx="-1200000" algn="bl" rotWithShape="0">
                <a:prstClr val="black">
                  <a:alpha val="20000"/>
                </a:prstClr>
              </a:outerShdw>
            </a:effectLst>
          </c:spPr>
          <c:invertIfNegative val="0"/>
          <c:dLbls>
            <c:dLbl>
              <c:idx val="1"/>
              <c:layout>
                <c:manualLayout>
                  <c:x val="-3.9003252932717034E-3"/>
                  <c:y val="3.7509377344335398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4F0-4AD1-AF45-B821E689ABAB}"/>
                </c:ext>
              </c:extLst>
            </c:dLbl>
            <c:dLbl>
              <c:idx val="3"/>
              <c:layout>
                <c:manualLayout>
                  <c:x val="0"/>
                  <c:y val="-5.2513128282070519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D06-4C37-A3CE-756B68AB036B}"/>
                </c:ext>
              </c:extLst>
            </c:dLbl>
            <c:dLbl>
              <c:idx val="7"/>
              <c:layout>
                <c:manualLayout>
                  <c:x val="2.7206477455254062E-3"/>
                  <c:y val="-0.11243866081966991"/>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4A6-47B0-9FDB-60320E6708D9}"/>
                </c:ext>
              </c:extLst>
            </c:dLbl>
            <c:spPr>
              <a:solidFill>
                <a:srgbClr val="FFFF00"/>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trendline>
            <c:spPr>
              <a:ln w="19050" cap="rnd">
                <a:solidFill>
                  <a:schemeClr val="accent6"/>
                </a:solidFill>
                <a:prstDash val="sysDash"/>
              </a:ln>
              <a:effectLst/>
            </c:spPr>
            <c:trendlineType val="movingAvg"/>
            <c:period val="2"/>
            <c:dispRSqr val="0"/>
            <c:dispEq val="0"/>
          </c:trendline>
          <c:cat>
            <c:strRef>
              <c:f>' Ratios '!$C$3:$J$3</c:f>
              <c:strCache>
                <c:ptCount val="8"/>
                <c:pt idx="0">
                  <c:v>2017</c:v>
                </c:pt>
                <c:pt idx="1">
                  <c:v>2018</c:v>
                </c:pt>
                <c:pt idx="2">
                  <c:v>2019</c:v>
                </c:pt>
                <c:pt idx="3">
                  <c:v>2020</c:v>
                </c:pt>
                <c:pt idx="4">
                  <c:v>2021</c:v>
                </c:pt>
                <c:pt idx="5">
                  <c:v>2022</c:v>
                </c:pt>
                <c:pt idx="6">
                  <c:v>2023</c:v>
                </c:pt>
                <c:pt idx="7">
                  <c:v>2024 (6m)</c:v>
                </c:pt>
              </c:strCache>
            </c:strRef>
          </c:cat>
          <c:val>
            <c:numRef>
              <c:f>' Ratios '!$C$5:$J$5</c:f>
              <c:numCache>
                <c:formatCode>0.00%</c:formatCode>
                <c:ptCount val="8"/>
                <c:pt idx="0">
                  <c:v>-4.7358467313859849E-2</c:v>
                </c:pt>
                <c:pt idx="1">
                  <c:v>0.14089375815898503</c:v>
                </c:pt>
                <c:pt idx="2">
                  <c:v>5.1420557265433445E-2</c:v>
                </c:pt>
                <c:pt idx="3">
                  <c:v>-2.3894185326529122E-2</c:v>
                </c:pt>
                <c:pt idx="4">
                  <c:v>0.15422012272228613</c:v>
                </c:pt>
                <c:pt idx="5">
                  <c:v>0.26506180830806658</c:v>
                </c:pt>
                <c:pt idx="6">
                  <c:v>-0.11470350289589874</c:v>
                </c:pt>
                <c:pt idx="7">
                  <c:v>-4.2529213370385101E-2</c:v>
                </c:pt>
              </c:numCache>
            </c:numRef>
          </c:val>
          <c:extLst>
            <c:ext xmlns:c16="http://schemas.microsoft.com/office/drawing/2014/chart" uri="{C3380CC4-5D6E-409C-BE32-E72D297353CC}">
              <c16:uniqueId val="{00000000-C6D2-427E-B739-BA67B32A8312}"/>
            </c:ext>
          </c:extLst>
        </c:ser>
        <c:dLbls>
          <c:dLblPos val="inEnd"/>
          <c:showLegendKey val="0"/>
          <c:showVal val="1"/>
          <c:showCatName val="0"/>
          <c:showSerName val="0"/>
          <c:showPercent val="0"/>
          <c:showBubbleSize val="0"/>
        </c:dLbls>
        <c:gapWidth val="41"/>
        <c:axId val="1112014959"/>
        <c:axId val="1112033263"/>
      </c:barChart>
      <c:catAx>
        <c:axId val="1112014959"/>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r>
                  <a:rPr lang="en-US"/>
                  <a:t>Financial Year </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ysClr val="windowText" lastClr="000000"/>
                </a:solidFill>
                <a:effectLst/>
                <a:latin typeface="+mn-lt"/>
                <a:ea typeface="+mn-ea"/>
                <a:cs typeface="+mn-cs"/>
              </a:defRPr>
            </a:pPr>
            <a:endParaRPr lang="en-US"/>
          </a:p>
        </c:txPr>
        <c:crossAx val="1112033263"/>
        <c:crosses val="autoZero"/>
        <c:auto val="1"/>
        <c:lblAlgn val="ctr"/>
        <c:lblOffset val="100"/>
        <c:noMultiLvlLbl val="0"/>
      </c:catAx>
      <c:valAx>
        <c:axId val="1112033263"/>
        <c:scaling>
          <c:orientation val="minMax"/>
        </c:scaling>
        <c:delete val="1"/>
        <c:axPos val="l"/>
        <c:title>
          <c:tx>
            <c:rich>
              <a:bodyPr rot="-540000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r>
                  <a:rPr lang="en-US"/>
                  <a:t>% PRofit MArgin</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endParaRPr lang="en-US"/>
            </a:p>
          </c:txPr>
        </c:title>
        <c:numFmt formatCode="0.00%" sourceLinked="1"/>
        <c:majorTickMark val="none"/>
        <c:minorTickMark val="none"/>
        <c:tickLblPos val="nextTo"/>
        <c:crossAx val="1112014959"/>
        <c:crosses val="autoZero"/>
        <c:crossBetween val="between"/>
      </c:valAx>
      <c:spPr>
        <a:noFill/>
        <a:ln>
          <a:noFill/>
        </a:ln>
        <a:effectLst/>
      </c:spPr>
    </c:plotArea>
    <c:plotVisOnly val="1"/>
    <c:dispBlanksAs val="gap"/>
    <c:showDLblsOverMax val="0"/>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2">
                <a:lumMod val="40000"/>
                <a:lumOff val="60000"/>
              </a:schemeClr>
            </a:soli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 Ratios '!$C$3:$J$3</c:f>
              <c:strCache>
                <c:ptCount val="8"/>
                <c:pt idx="0">
                  <c:v>2017</c:v>
                </c:pt>
                <c:pt idx="1">
                  <c:v>2018</c:v>
                </c:pt>
                <c:pt idx="2">
                  <c:v>2019</c:v>
                </c:pt>
                <c:pt idx="3">
                  <c:v>2020</c:v>
                </c:pt>
                <c:pt idx="4">
                  <c:v>2021</c:v>
                </c:pt>
                <c:pt idx="5">
                  <c:v>2022</c:v>
                </c:pt>
                <c:pt idx="6">
                  <c:v>2023</c:v>
                </c:pt>
                <c:pt idx="7">
                  <c:v>2024 (6m)</c:v>
                </c:pt>
              </c:strCache>
            </c:strRef>
          </c:cat>
          <c:val>
            <c:numRef>
              <c:f>' Ratios '!$C$6:$J$6</c:f>
              <c:numCache>
                <c:formatCode>0.00%</c:formatCode>
                <c:ptCount val="8"/>
                <c:pt idx="0">
                  <c:v>-5.5657971436904756E-2</c:v>
                </c:pt>
                <c:pt idx="1">
                  <c:v>0.10138574010123436</c:v>
                </c:pt>
                <c:pt idx="2">
                  <c:v>4.1639401823337511E-3</c:v>
                </c:pt>
                <c:pt idx="3">
                  <c:v>-6.324776454205408E-2</c:v>
                </c:pt>
                <c:pt idx="4">
                  <c:v>0.13299683060472101</c:v>
                </c:pt>
                <c:pt idx="5">
                  <c:v>0.23762839073201839</c:v>
                </c:pt>
                <c:pt idx="6">
                  <c:v>-0.16436184886360561</c:v>
                </c:pt>
                <c:pt idx="7">
                  <c:v>-8.8307348201807828E-2</c:v>
                </c:pt>
              </c:numCache>
            </c:numRef>
          </c:val>
          <c:extLst>
            <c:ext xmlns:c16="http://schemas.microsoft.com/office/drawing/2014/chart" uri="{C3380CC4-5D6E-409C-BE32-E72D297353CC}">
              <c16:uniqueId val="{00000000-A005-40F1-AB9B-9316BDDC4056}"/>
            </c:ext>
          </c:extLst>
        </c:ser>
        <c:dLbls>
          <c:showLegendKey val="0"/>
          <c:showVal val="0"/>
          <c:showCatName val="0"/>
          <c:showSerName val="0"/>
          <c:showPercent val="0"/>
          <c:showBubbleSize val="0"/>
        </c:dLbls>
        <c:gapWidth val="80"/>
        <c:overlap val="25"/>
        <c:axId val="1112064463"/>
        <c:axId val="1112058639"/>
      </c:barChart>
      <c:catAx>
        <c:axId val="1112064463"/>
        <c:scaling>
          <c:orientation val="minMax"/>
        </c:scaling>
        <c:delete val="0"/>
        <c:axPos val="b"/>
        <c:numFmt formatCode="General" sourceLinked="1"/>
        <c:majorTickMark val="none"/>
        <c:minorTickMark val="none"/>
        <c:tickLblPos val="nextTo"/>
        <c:spPr>
          <a:noFill/>
          <a:ln w="15875" cap="flat" cmpd="sng" algn="ctr">
            <a:solidFill>
              <a:schemeClr val="tx1">
                <a:lumMod val="25000"/>
                <a:lumOff val="75000"/>
              </a:schemeClr>
            </a:solidFill>
            <a:round/>
          </a:ln>
          <a:effectLst/>
        </c:spPr>
        <c:txPr>
          <a:bodyPr rot="-60000000" spcFirstLastPara="1" vertOverflow="ellipsis" vert="horz" wrap="square" anchor="ctr" anchorCtr="1"/>
          <a:lstStyle/>
          <a:p>
            <a:pPr>
              <a:defRPr sz="1000" b="1" i="0" u="none" strike="noStrike" kern="1200" cap="none" spc="20" normalizeH="0" baseline="0">
                <a:solidFill>
                  <a:schemeClr val="tx1">
                    <a:lumMod val="65000"/>
                    <a:lumOff val="35000"/>
                  </a:schemeClr>
                </a:solidFill>
                <a:latin typeface="+mn-lt"/>
                <a:ea typeface="+mn-ea"/>
                <a:cs typeface="+mn-cs"/>
              </a:defRPr>
            </a:pPr>
            <a:endParaRPr lang="en-US"/>
          </a:p>
        </c:txPr>
        <c:crossAx val="1112058639"/>
        <c:crosses val="autoZero"/>
        <c:auto val="1"/>
        <c:lblAlgn val="ctr"/>
        <c:lblOffset val="100"/>
        <c:noMultiLvlLbl val="0"/>
      </c:catAx>
      <c:valAx>
        <c:axId val="1112058639"/>
        <c:scaling>
          <c:orientation val="minMax"/>
        </c:scaling>
        <c:delete val="0"/>
        <c:axPos val="l"/>
        <c:majorGridlines>
          <c:spPr>
            <a:ln w="9525" cap="flat" cmpd="sng" algn="ctr">
              <a:solidFill>
                <a:schemeClr val="tx1">
                  <a:lumMod val="5000"/>
                  <a:lumOff val="9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spc="20" baseline="0">
                <a:solidFill>
                  <a:schemeClr val="tx1">
                    <a:lumMod val="65000"/>
                    <a:lumOff val="35000"/>
                  </a:schemeClr>
                </a:solidFill>
                <a:latin typeface="+mn-lt"/>
                <a:ea typeface="+mn-ea"/>
                <a:cs typeface="+mn-cs"/>
              </a:defRPr>
            </a:pPr>
            <a:endParaRPr lang="en-US"/>
          </a:p>
        </c:txPr>
        <c:crossAx val="1112064463"/>
        <c:crosses val="autoZero"/>
        <c:crossBetween val="between"/>
      </c:valAx>
      <c:spPr>
        <a:noFill/>
        <a:ln>
          <a:noFill/>
        </a:ln>
        <a:effectLst/>
      </c:spPr>
    </c:plotArea>
    <c:plotVisOnly val="1"/>
    <c:dispBlanksAs val="gap"/>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US" sz="1600" b="1"/>
              <a:t>Procurement Production</a:t>
            </a:r>
            <a:r>
              <a:rPr lang="en-US" sz="1600" b="1" baseline="0"/>
              <a:t> Sale </a:t>
            </a:r>
            <a:endParaRPr lang="en-US" sz="1600" b="1"/>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2"/>
              </a:solidFill>
              <a:round/>
            </a:ln>
            <a:effectLst/>
          </c:spPr>
          <c:marker>
            <c:symbol val="diamond"/>
            <c:size val="7"/>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movingAvg"/>
            <c:period val="2"/>
            <c:dispRSqr val="0"/>
            <c:dispEq val="0"/>
          </c:trendline>
          <c:cat>
            <c:strRef>
              <c:f>' Ratios '!$C$3:$J$3</c:f>
              <c:strCache>
                <c:ptCount val="8"/>
                <c:pt idx="0">
                  <c:v>2017</c:v>
                </c:pt>
                <c:pt idx="1">
                  <c:v>2018</c:v>
                </c:pt>
                <c:pt idx="2">
                  <c:v>2019</c:v>
                </c:pt>
                <c:pt idx="3">
                  <c:v>2020</c:v>
                </c:pt>
                <c:pt idx="4">
                  <c:v>2021</c:v>
                </c:pt>
                <c:pt idx="5">
                  <c:v>2022</c:v>
                </c:pt>
                <c:pt idx="6">
                  <c:v>2023</c:v>
                </c:pt>
                <c:pt idx="7">
                  <c:v>2024 (6m)</c:v>
                </c:pt>
              </c:strCache>
            </c:strRef>
          </c:cat>
          <c:val>
            <c:numRef>
              <c:f>' Ratios '!$C$12:$J$12</c:f>
              <c:numCache>
                <c:formatCode>_-* #,##0_-;\-* #,##0_-;_-* "-"??_-;_-@_-</c:formatCode>
                <c:ptCount val="8"/>
                <c:pt idx="0">
                  <c:v>59.308657805749007</c:v>
                </c:pt>
                <c:pt idx="1">
                  <c:v>79.865957572331837</c:v>
                </c:pt>
                <c:pt idx="2">
                  <c:v>87.310585825727927</c:v>
                </c:pt>
                <c:pt idx="3">
                  <c:v>71.810368460226442</c:v>
                </c:pt>
                <c:pt idx="4">
                  <c:v>68.731744165343969</c:v>
                </c:pt>
                <c:pt idx="5" formatCode="0">
                  <c:v>113.3977236426812</c:v>
                </c:pt>
                <c:pt idx="6" formatCode="0">
                  <c:v>134.43932892729379</c:v>
                </c:pt>
                <c:pt idx="7" formatCode="0">
                  <c:v>193.57557641102147</c:v>
                </c:pt>
              </c:numCache>
            </c:numRef>
          </c:val>
          <c:smooth val="1"/>
          <c:extLst>
            <c:ext xmlns:c16="http://schemas.microsoft.com/office/drawing/2014/chart" uri="{C3380CC4-5D6E-409C-BE32-E72D297353CC}">
              <c16:uniqueId val="{00000000-F443-4C0E-ADCD-C22A6C4F45FF}"/>
            </c:ext>
          </c:extLst>
        </c:ser>
        <c:dLbls>
          <c:dLblPos val="t"/>
          <c:showLegendKey val="0"/>
          <c:showVal val="1"/>
          <c:showCatName val="0"/>
          <c:showSerName val="0"/>
          <c:showPercent val="0"/>
          <c:showBubbleSize val="0"/>
        </c:dLbls>
        <c:marker val="1"/>
        <c:smooth val="0"/>
        <c:axId val="1281206431"/>
        <c:axId val="1281205599"/>
      </c:lineChart>
      <c:catAx>
        <c:axId val="1281206431"/>
        <c:scaling>
          <c:orientation val="minMax"/>
        </c:scaling>
        <c:delete val="0"/>
        <c:axPos val="b"/>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1600" b="1"/>
                  <a:t>Year</a:t>
                </a:r>
                <a:r>
                  <a:rPr lang="en-US" sz="1600" b="1" baseline="0"/>
                  <a:t> </a:t>
                </a:r>
                <a:endParaRPr lang="en-US" sz="1600" b="1"/>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600" b="1" i="0" u="none" strike="noStrike" kern="1200" baseline="0">
                <a:solidFill>
                  <a:schemeClr val="tx1"/>
                </a:solidFill>
                <a:latin typeface="Arial Narrow" panose="020B0606020202030204" pitchFamily="34" charset="0"/>
                <a:ea typeface="+mn-ea"/>
                <a:cs typeface="+mn-cs"/>
              </a:defRPr>
            </a:pPr>
            <a:endParaRPr lang="en-US"/>
          </a:p>
        </c:txPr>
        <c:crossAx val="1281205599"/>
        <c:crosses val="autoZero"/>
        <c:auto val="1"/>
        <c:lblAlgn val="ctr"/>
        <c:lblOffset val="100"/>
        <c:noMultiLvlLbl val="0"/>
      </c:catAx>
      <c:valAx>
        <c:axId val="1281205599"/>
        <c:scaling>
          <c:orientation val="minMax"/>
        </c:scaling>
        <c:delete val="1"/>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r>
                  <a:rPr lang="en-US" sz="1400" b="1"/>
                  <a:t>No of Days </a:t>
                </a:r>
              </a:p>
            </c:rich>
          </c:tx>
          <c:overlay val="0"/>
          <c:spPr>
            <a:noFill/>
            <a:ln>
              <a:noFill/>
            </a:ln>
            <a:effectLst/>
          </c:spPr>
          <c:txPr>
            <a:bodyPr rot="-54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title>
        <c:numFmt formatCode="_-* #,##0_-;\-* #,##0_-;_-* &quot;-&quot;??_-;_-@_-" sourceLinked="1"/>
        <c:majorTickMark val="none"/>
        <c:minorTickMark val="none"/>
        <c:tickLblPos val="nextTo"/>
        <c:crossAx val="1281206431"/>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6983206856056869E-2"/>
          <c:y val="2.8856553391440283E-2"/>
          <c:w val="0.94972304517267903"/>
          <c:h val="0.73213307869886479"/>
        </c:manualLayout>
      </c:layout>
      <c:lineChart>
        <c:grouping val="standard"/>
        <c:varyColors val="0"/>
        <c:ser>
          <c:idx val="0"/>
          <c:order val="0"/>
          <c:spPr>
            <a:ln w="28575" cap="rnd">
              <a:solidFill>
                <a:schemeClr val="accent2"/>
              </a:solidFill>
              <a:round/>
            </a:ln>
            <a:effectLst/>
          </c:spPr>
          <c:marker>
            <c:symbol val="diamond"/>
            <c:size val="7"/>
            <c:spPr>
              <a:solidFill>
                <a:srgbClr val="002060"/>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0">
                <a:spAutoFit/>
              </a:bodyPr>
              <a:lstStyle/>
              <a:p>
                <a:pPr algn="ctr">
                  <a:defRPr lang="en-US" sz="1600" b="1" i="0" u="none" strike="noStrike" kern="1200" baseline="0">
                    <a:solidFill>
                      <a:schemeClr val="tx1"/>
                    </a:solidFill>
                    <a:latin typeface="Arial Narrow" panose="020B0606020202030204" pitchFamily="34" charset="0"/>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 Ratios '!$C$3:$J$3</c:f>
              <c:strCache>
                <c:ptCount val="8"/>
                <c:pt idx="0">
                  <c:v>2017</c:v>
                </c:pt>
                <c:pt idx="1">
                  <c:v>2018</c:v>
                </c:pt>
                <c:pt idx="2">
                  <c:v>2019</c:v>
                </c:pt>
                <c:pt idx="3">
                  <c:v>2020</c:v>
                </c:pt>
                <c:pt idx="4">
                  <c:v>2021</c:v>
                </c:pt>
                <c:pt idx="5">
                  <c:v>2022</c:v>
                </c:pt>
                <c:pt idx="6">
                  <c:v>2023</c:v>
                </c:pt>
                <c:pt idx="7">
                  <c:v>2024 (6m)</c:v>
                </c:pt>
              </c:strCache>
            </c:strRef>
          </c:cat>
          <c:val>
            <c:numRef>
              <c:f>' Ratios '!$C$18:$J$18</c:f>
              <c:numCache>
                <c:formatCode>_-* #,##0.00_-;\-* #,##0.00_-;_-* "-"??_-;_-@_-</c:formatCode>
                <c:ptCount val="8"/>
                <c:pt idx="0">
                  <c:v>0.64278201933056811</c:v>
                </c:pt>
                <c:pt idx="1">
                  <c:v>0.62255801108465569</c:v>
                </c:pt>
                <c:pt idx="2">
                  <c:v>0.37037453177487251</c:v>
                </c:pt>
                <c:pt idx="3">
                  <c:v>0.65610146630958777</c:v>
                </c:pt>
                <c:pt idx="4">
                  <c:v>0.33002744701757192</c:v>
                </c:pt>
                <c:pt idx="5">
                  <c:v>0.19407832247630807</c:v>
                </c:pt>
                <c:pt idx="6">
                  <c:v>0.23676941197920118</c:v>
                </c:pt>
                <c:pt idx="7">
                  <c:v>0.23496899894990139</c:v>
                </c:pt>
              </c:numCache>
            </c:numRef>
          </c:val>
          <c:smooth val="1"/>
          <c:extLst>
            <c:ext xmlns:c16="http://schemas.microsoft.com/office/drawing/2014/chart" uri="{C3380CC4-5D6E-409C-BE32-E72D297353CC}">
              <c16:uniqueId val="{00000000-B283-43D8-9044-1E13DA4E3497}"/>
            </c:ext>
          </c:extLst>
        </c:ser>
        <c:dLbls>
          <c:showLegendKey val="0"/>
          <c:showVal val="0"/>
          <c:showCatName val="0"/>
          <c:showSerName val="0"/>
          <c:showPercent val="0"/>
          <c:showBubbleSize val="0"/>
        </c:dLbls>
        <c:marker val="1"/>
        <c:smooth val="0"/>
        <c:axId val="1281215167"/>
        <c:axId val="1281216831"/>
      </c:lineChart>
      <c:catAx>
        <c:axId val="1281215167"/>
        <c:scaling>
          <c:orientation val="minMax"/>
        </c:scaling>
        <c:delete val="0"/>
        <c:axPos val="b"/>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1600" b="1"/>
                  <a:t>Year </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600" b="1" i="0" u="none" strike="noStrike" kern="1200" baseline="0">
                <a:solidFill>
                  <a:schemeClr val="tx1"/>
                </a:solidFill>
                <a:latin typeface="Arial Narrow" panose="020B0606020202030204" pitchFamily="34" charset="0"/>
                <a:ea typeface="+mn-ea"/>
                <a:cs typeface="+mn-cs"/>
              </a:defRPr>
            </a:pPr>
            <a:endParaRPr lang="en-US"/>
          </a:p>
        </c:txPr>
        <c:crossAx val="1281216831"/>
        <c:crosses val="autoZero"/>
        <c:auto val="1"/>
        <c:lblAlgn val="ctr"/>
        <c:lblOffset val="100"/>
        <c:noMultiLvlLbl val="0"/>
      </c:catAx>
      <c:valAx>
        <c:axId val="1281216831"/>
        <c:scaling>
          <c:orientation val="minMax"/>
        </c:scaling>
        <c:delete val="1"/>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r>
                  <a:rPr lang="en-US" sz="1050" b="1"/>
                  <a:t>Debt</a:t>
                </a:r>
                <a:r>
                  <a:rPr lang="en-US" sz="1050" b="1" baseline="0"/>
                  <a:t> Equity Margin</a:t>
                </a:r>
                <a:endParaRPr lang="en-US" sz="1050" b="1"/>
              </a:p>
            </c:rich>
          </c:tx>
          <c:overlay val="0"/>
          <c:spPr>
            <a:noFill/>
            <a:ln>
              <a:noFill/>
            </a:ln>
            <a:effectLst/>
          </c:spPr>
          <c:txPr>
            <a:bodyPr rot="-54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title>
        <c:numFmt formatCode="_-* #,##0.00_-;\-* #,##0.00_-;_-* &quot;-&quot;??_-;_-@_-" sourceLinked="1"/>
        <c:majorTickMark val="none"/>
        <c:minorTickMark val="none"/>
        <c:tickLblPos val="nextTo"/>
        <c:crossAx val="1281215167"/>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 Ratios '!$B$13</c:f>
              <c:strCache>
                <c:ptCount val="1"/>
                <c:pt idx="0">
                  <c:v>Current Ratio</c:v>
                </c:pt>
              </c:strCache>
            </c:strRef>
          </c:tx>
          <c:spPr>
            <a:ln w="28575" cap="rnd">
              <a:solidFill>
                <a:schemeClr val="accent2"/>
              </a:solidFill>
              <a:round/>
            </a:ln>
            <a:effectLst/>
          </c:spPr>
          <c:marker>
            <c:symbol val="diamond"/>
            <c:size val="8"/>
            <c:spPr>
              <a:solidFill>
                <a:srgbClr val="002060"/>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0">
                <a:spAutoFit/>
              </a:bodyPr>
              <a:lstStyle/>
              <a:p>
                <a:pPr algn="ctr">
                  <a:defRPr lang="en-US" sz="1600" b="1" i="0" u="none" strike="noStrike" kern="1200" baseline="0">
                    <a:solidFill>
                      <a:schemeClr val="tx1"/>
                    </a:solidFill>
                    <a:latin typeface="Arial Narrow" panose="020B0606020202030204" pitchFamily="34" charset="0"/>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 Ratios '!$C$3:$J$3</c:f>
              <c:strCache>
                <c:ptCount val="8"/>
                <c:pt idx="0">
                  <c:v>2017</c:v>
                </c:pt>
                <c:pt idx="1">
                  <c:v>2018</c:v>
                </c:pt>
                <c:pt idx="2">
                  <c:v>2019</c:v>
                </c:pt>
                <c:pt idx="3">
                  <c:v>2020</c:v>
                </c:pt>
                <c:pt idx="4">
                  <c:v>2021</c:v>
                </c:pt>
                <c:pt idx="5">
                  <c:v>2022</c:v>
                </c:pt>
                <c:pt idx="6">
                  <c:v>2023</c:v>
                </c:pt>
                <c:pt idx="7">
                  <c:v>2024 (6m)</c:v>
                </c:pt>
              </c:strCache>
            </c:strRef>
          </c:cat>
          <c:val>
            <c:numRef>
              <c:f>' Ratios '!$C$13:$J$13</c:f>
              <c:numCache>
                <c:formatCode>_-* #,##0.0_-;\-* #,##0.0_-;_-* "-"??_-;_-@_-</c:formatCode>
                <c:ptCount val="8"/>
                <c:pt idx="0">
                  <c:v>0.41366808145320505</c:v>
                </c:pt>
                <c:pt idx="1">
                  <c:v>0.55956330827203871</c:v>
                </c:pt>
                <c:pt idx="2">
                  <c:v>0.52379126316429303</c:v>
                </c:pt>
                <c:pt idx="3">
                  <c:v>0.51134978661368691</c:v>
                </c:pt>
                <c:pt idx="4">
                  <c:v>0.70661539609735002</c:v>
                </c:pt>
                <c:pt idx="5" formatCode="0.0">
                  <c:v>1.0586103561236861</c:v>
                </c:pt>
                <c:pt idx="6" formatCode="0.0">
                  <c:v>0.86785229813912546</c:v>
                </c:pt>
                <c:pt idx="7" formatCode="0.0">
                  <c:v>0.8039561230637785</c:v>
                </c:pt>
              </c:numCache>
            </c:numRef>
          </c:val>
          <c:smooth val="1"/>
          <c:extLst>
            <c:ext xmlns:c16="http://schemas.microsoft.com/office/drawing/2014/chart" uri="{C3380CC4-5D6E-409C-BE32-E72D297353CC}">
              <c16:uniqueId val="{00000000-7AAE-47AD-8EE9-E3AAFFF8EFFB}"/>
            </c:ext>
          </c:extLst>
        </c:ser>
        <c:ser>
          <c:idx val="1"/>
          <c:order val="1"/>
          <c:tx>
            <c:strRef>
              <c:f>' Ratios '!$B$14</c:f>
              <c:strCache>
                <c:ptCount val="1"/>
                <c:pt idx="0">
                  <c:v>Quick Ratio</c:v>
                </c:pt>
              </c:strCache>
            </c:strRef>
          </c:tx>
          <c:spPr>
            <a:ln w="28575" cap="rnd">
              <a:solidFill>
                <a:srgbClr val="C00000"/>
              </a:solidFill>
              <a:round/>
            </a:ln>
            <a:effectLst/>
          </c:spPr>
          <c:marker>
            <c:symbol val="diamond"/>
            <c:size val="8"/>
            <c:spPr>
              <a:solidFill>
                <a:srgbClr val="002060"/>
              </a:solidFill>
              <a:ln w="9525">
                <a:solidFill>
                  <a:srgbClr val="C00000"/>
                </a:solidFill>
              </a:ln>
              <a:effectLst/>
            </c:spPr>
          </c:marker>
          <c:dLbls>
            <c:dLbl>
              <c:idx val="0"/>
              <c:layout>
                <c:manualLayout>
                  <c:x val="-3.5967532022946093E-2"/>
                  <c:y val="0.34047698148022754"/>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1A50-44B7-A687-51F6185841DF}"/>
                </c:ext>
              </c:extLst>
            </c:dLbl>
            <c:dLbl>
              <c:idx val="1"/>
              <c:layout>
                <c:manualLayout>
                  <c:x val="-3.2170492458092795E-2"/>
                  <c:y val="0.3337584854076380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A50-44B7-A687-51F6185841DF}"/>
                </c:ext>
              </c:extLst>
            </c:dLbl>
            <c:dLbl>
              <c:idx val="2"/>
              <c:layout>
                <c:manualLayout>
                  <c:x val="-3.7866051805372794E-2"/>
                  <c:y val="0.30688450111728061"/>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1A50-44B7-A687-51F6185841DF}"/>
                </c:ext>
              </c:extLst>
            </c:dLbl>
            <c:dLbl>
              <c:idx val="3"/>
              <c:layout>
                <c:manualLayout>
                  <c:x val="-3.5967532022946079E-2"/>
                  <c:y val="0.28672901289951247"/>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A50-44B7-A687-51F6185841DF}"/>
                </c:ext>
              </c:extLst>
            </c:dLbl>
            <c:dLbl>
              <c:idx val="4"/>
              <c:layout>
                <c:manualLayout>
                  <c:x val="-1.6982334198679717E-2"/>
                  <c:y val="0.32703998933504874"/>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1A50-44B7-A687-51F6185841DF}"/>
                </c:ext>
              </c:extLst>
            </c:dLbl>
            <c:dLbl>
              <c:idx val="5"/>
              <c:layout>
                <c:manualLayout>
                  <c:x val="-3.0604138892717486E-2"/>
                  <c:y val="0.3942249500609426"/>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1A50-44B7-A687-51F6185841DF}"/>
                </c:ext>
              </c:extLst>
            </c:dLbl>
            <c:dLbl>
              <c:idx val="6"/>
              <c:layout>
                <c:manualLayout>
                  <c:x val="-3.2502658675144132E-2"/>
                  <c:y val="0.38750645398835321"/>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1A50-44B7-A687-51F6185841DF}"/>
                </c:ext>
              </c:extLst>
            </c:dLbl>
            <c:dLbl>
              <c:idx val="7"/>
              <c:layout>
                <c:manualLayout>
                  <c:x val="-1.9213020198157769E-2"/>
                  <c:y val="0.50843938329496208"/>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1A50-44B7-A687-51F6185841DF}"/>
                </c:ext>
              </c:extLst>
            </c:dLbl>
            <c:spPr>
              <a:noFill/>
              <a:ln>
                <a:noFill/>
              </a:ln>
              <a:effectLst/>
            </c:spPr>
            <c:txPr>
              <a:bodyPr rot="0" spcFirstLastPara="1" vertOverflow="ellipsis" vert="horz" wrap="square" lIns="38100" tIns="19050" rIns="38100" bIns="19050" anchor="ctr" anchorCtr="0">
                <a:spAutoFit/>
              </a:bodyPr>
              <a:lstStyle/>
              <a:p>
                <a:pPr algn="ctr">
                  <a:defRPr lang="en-US" sz="1600" b="1" i="0" u="none" strike="noStrike" kern="1200" baseline="0">
                    <a:solidFill>
                      <a:schemeClr val="tx1"/>
                    </a:solidFill>
                    <a:latin typeface="Arial Narrow" panose="020B0606020202030204" pitchFamily="34" charset="0"/>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 Ratios '!$C$3:$J$3</c:f>
              <c:strCache>
                <c:ptCount val="8"/>
                <c:pt idx="0">
                  <c:v>2017</c:v>
                </c:pt>
                <c:pt idx="1">
                  <c:v>2018</c:v>
                </c:pt>
                <c:pt idx="2">
                  <c:v>2019</c:v>
                </c:pt>
                <c:pt idx="3">
                  <c:v>2020</c:v>
                </c:pt>
                <c:pt idx="4">
                  <c:v>2021</c:v>
                </c:pt>
                <c:pt idx="5">
                  <c:v>2022</c:v>
                </c:pt>
                <c:pt idx="6">
                  <c:v>2023</c:v>
                </c:pt>
                <c:pt idx="7">
                  <c:v>2024 (6m)</c:v>
                </c:pt>
              </c:strCache>
            </c:strRef>
          </c:cat>
          <c:val>
            <c:numRef>
              <c:f>' Ratios '!$C$14:$J$14</c:f>
              <c:numCache>
                <c:formatCode>_-* #,##0.0_-;\-* #,##0.0_-;_-* "-"??_-;_-@_-</c:formatCode>
                <c:ptCount val="8"/>
                <c:pt idx="0">
                  <c:v>0.2772922245642136</c:v>
                </c:pt>
                <c:pt idx="1">
                  <c:v>0.40742835771476371</c:v>
                </c:pt>
                <c:pt idx="2">
                  <c:v>0.39103629079932151</c:v>
                </c:pt>
                <c:pt idx="3">
                  <c:v>0.38760457042838337</c:v>
                </c:pt>
                <c:pt idx="4">
                  <c:v>0.56750150740867522</c:v>
                </c:pt>
                <c:pt idx="5" formatCode="0.0">
                  <c:v>0.83035347871663057</c:v>
                </c:pt>
                <c:pt idx="6" formatCode="0.0">
                  <c:v>0.72405312487240425</c:v>
                </c:pt>
                <c:pt idx="7" formatCode="0.0">
                  <c:v>0.66422107539540365</c:v>
                </c:pt>
              </c:numCache>
            </c:numRef>
          </c:val>
          <c:smooth val="0"/>
          <c:extLst>
            <c:ext xmlns:c16="http://schemas.microsoft.com/office/drawing/2014/chart" uri="{C3380CC4-5D6E-409C-BE32-E72D297353CC}">
              <c16:uniqueId val="{00000001-7AAE-47AD-8EE9-E3AAFFF8EFFB}"/>
            </c:ext>
          </c:extLst>
        </c:ser>
        <c:dLbls>
          <c:showLegendKey val="0"/>
          <c:showVal val="0"/>
          <c:showCatName val="0"/>
          <c:showSerName val="0"/>
          <c:showPercent val="0"/>
          <c:showBubbleSize val="0"/>
        </c:dLbls>
        <c:marker val="1"/>
        <c:smooth val="0"/>
        <c:axId val="1112061967"/>
        <c:axId val="1112054479"/>
      </c:lineChart>
      <c:catAx>
        <c:axId val="1112061967"/>
        <c:scaling>
          <c:orientation val="minMax"/>
        </c:scaling>
        <c:delete val="0"/>
        <c:axPos val="b"/>
        <c:title>
          <c:tx>
            <c:rich>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r>
                  <a:rPr lang="en-US" sz="1400" b="1"/>
                  <a:t>Year </a:t>
                </a:r>
              </a:p>
            </c:rich>
          </c:tx>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600" b="1" i="0" u="none" strike="noStrike" kern="1200" baseline="0">
                <a:solidFill>
                  <a:schemeClr val="tx1"/>
                </a:solidFill>
                <a:latin typeface="Arial Narrow" panose="020B0606020202030204" pitchFamily="34" charset="0"/>
                <a:ea typeface="+mn-ea"/>
                <a:cs typeface="+mn-cs"/>
              </a:defRPr>
            </a:pPr>
            <a:endParaRPr lang="en-US"/>
          </a:p>
        </c:txPr>
        <c:crossAx val="1112054479"/>
        <c:crosses val="autoZero"/>
        <c:auto val="1"/>
        <c:lblAlgn val="ctr"/>
        <c:lblOffset val="100"/>
        <c:noMultiLvlLbl val="0"/>
      </c:catAx>
      <c:valAx>
        <c:axId val="1112054479"/>
        <c:scaling>
          <c:orientation val="minMax"/>
        </c:scaling>
        <c:delete val="1"/>
        <c:axPos val="l"/>
        <c:title>
          <c:tx>
            <c:rich>
              <a:bodyPr rot="-540000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1600" b="1"/>
                  <a:t>% </a:t>
                </a:r>
              </a:p>
            </c:rich>
          </c:tx>
          <c:overlay val="0"/>
          <c:spPr>
            <a:noFill/>
            <a:ln>
              <a:noFill/>
            </a:ln>
            <a:effectLst/>
          </c:spPr>
          <c:txPr>
            <a:bodyPr rot="-540000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numFmt formatCode="_-* #,##0.0_-;\-* #,##0.0_-;_-* &quot;-&quot;??_-;_-@_-" sourceLinked="1"/>
        <c:majorTickMark val="none"/>
        <c:minorTickMark val="none"/>
        <c:tickLblPos val="nextTo"/>
        <c:crossAx val="1112061967"/>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lgn="ctr">
            <a:defRPr lang="en-US" sz="1400" b="1" i="0" u="none" strike="noStrike" kern="1200" baseline="0">
              <a:solidFill>
                <a:schemeClr val="tx1"/>
              </a:solidFill>
              <a:latin typeface="Arial Narrow" panose="020B0606020202030204" pitchFamily="34" charset="0"/>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manualLayout>
          <c:xMode val="edge"/>
          <c:yMode val="edge"/>
          <c:x val="4.6145474730184599E-2"/>
          <c:y val="3.6819905305110041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8629977337476603"/>
          <c:y val="7.2023748761366815E-2"/>
          <c:w val="0.62740007535279585"/>
          <c:h val="0.8559525024772664"/>
        </c:manualLayout>
      </c:layout>
      <c:doughnutChart>
        <c:varyColors val="1"/>
        <c:ser>
          <c:idx val="0"/>
          <c:order val="0"/>
          <c:tx>
            <c:strRef>
              <c:f>' Ratios '!$K$16</c:f>
              <c:strCache>
                <c:ptCount val="1"/>
                <c:pt idx="0">
                  <c:v>Net Income (PAT) / Shareholders Total</c:v>
                </c:pt>
              </c:strCache>
            </c:strRef>
          </c:tx>
          <c:spPr>
            <a:solidFill>
              <a:schemeClr val="accent6">
                <a:lumMod val="40000"/>
                <a:lumOff val="60000"/>
              </a:schemeClr>
            </a:solidFill>
            <a:ln>
              <a:solidFill>
                <a:schemeClr val="accent2">
                  <a:lumMod val="75000"/>
                </a:schemeClr>
              </a:solidFill>
            </a:ln>
          </c:spPr>
          <c:explosion val="11"/>
          <c:dPt>
            <c:idx val="0"/>
            <c:bubble3D val="0"/>
            <c:spPr>
              <a:solidFill>
                <a:schemeClr val="accent6">
                  <a:lumMod val="40000"/>
                  <a:lumOff val="60000"/>
                </a:schemeClr>
              </a:solidFill>
              <a:ln w="19050">
                <a:solidFill>
                  <a:schemeClr val="accent2">
                    <a:lumMod val="75000"/>
                  </a:schemeClr>
                </a:solidFill>
              </a:ln>
              <a:effectLst/>
            </c:spPr>
            <c:extLst>
              <c:ext xmlns:c16="http://schemas.microsoft.com/office/drawing/2014/chart" uri="{C3380CC4-5D6E-409C-BE32-E72D297353CC}">
                <c16:uniqueId val="{00000001-7256-4E05-B3F7-18E82AF9972C}"/>
              </c:ext>
            </c:extLst>
          </c:dPt>
          <c:dPt>
            <c:idx val="1"/>
            <c:bubble3D val="0"/>
            <c:explosion val="29"/>
            <c:spPr>
              <a:solidFill>
                <a:schemeClr val="accent6">
                  <a:lumMod val="40000"/>
                  <a:lumOff val="60000"/>
                </a:schemeClr>
              </a:solidFill>
              <a:ln w="6350">
                <a:solidFill>
                  <a:schemeClr val="accent2">
                    <a:lumMod val="75000"/>
                  </a:schemeClr>
                </a:solidFill>
              </a:ln>
              <a:effectLst/>
            </c:spPr>
            <c:extLst>
              <c:ext xmlns:c16="http://schemas.microsoft.com/office/drawing/2014/chart" uri="{C3380CC4-5D6E-409C-BE32-E72D297353CC}">
                <c16:uniqueId val="{00000003-7256-4E05-B3F7-18E82AF9972C}"/>
              </c:ext>
            </c:extLst>
          </c:dPt>
          <c:dLbls>
            <c:dLbl>
              <c:idx val="0"/>
              <c:spPr>
                <a:noFill/>
                <a:ln>
                  <a:noFill/>
                </a:ln>
                <a:effectLst/>
              </c:spPr>
              <c:txPr>
                <a:bodyPr rot="0" spcFirstLastPara="1" vertOverflow="ellipsis" vert="horz" wrap="square" lIns="38100" tIns="19050" rIns="38100" bIns="19050" anchor="ctr" anchorCtr="1">
                  <a:noAutofit/>
                </a:bodyPr>
                <a:lstStyle/>
                <a:p>
                  <a:pPr>
                    <a:defRPr sz="16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5869853823501967"/>
                      <c:h val="9.0203122206395647E-2"/>
                    </c:manualLayout>
                  </c15:layout>
                </c:ext>
                <c:ext xmlns:c16="http://schemas.microsoft.com/office/drawing/2014/chart" uri="{C3380CC4-5D6E-409C-BE32-E72D297353CC}">
                  <c16:uniqueId val="{00000001-7256-4E05-B3F7-18E82AF9972C}"/>
                </c:ext>
              </c:extLst>
            </c:dLbl>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numRef>
              <c:extLst>
                <c:ext xmlns:c15="http://schemas.microsoft.com/office/drawing/2012/chart" uri="{02D57815-91ED-43cb-92C2-25804820EDAC}">
                  <c15:fullRef>
                    <c15:sqref>(' Ratios '!$C$22,' Ratios '!$C$25)</c15:sqref>
                  </c15:fullRef>
                </c:ext>
              </c:extLst>
              <c:f>(' Ratios '!$C$22,' Ratios '!$C$25)</c:f>
              <c:numCache>
                <c:formatCode>0%</c:formatCode>
                <c:ptCount val="2"/>
                <c:pt idx="0" formatCode="0.0%">
                  <c:v>-5.8606451945817678E-2</c:v>
                </c:pt>
                <c:pt idx="1">
                  <c:v>1</c:v>
                </c:pt>
              </c:numCache>
            </c:numRef>
          </c:cat>
          <c:val>
            <c:numRef>
              <c:extLst>
                <c:ext xmlns:c15="http://schemas.microsoft.com/office/drawing/2012/chart" uri="{02D57815-91ED-43cb-92C2-25804820EDAC}">
                  <c15:fullRef>
                    <c15:sqref>' Ratios '!$C$22:$C$24</c15:sqref>
                  </c15:fullRef>
                </c:ext>
              </c:extLst>
              <c:f>' Ratios '!$C$22:$C$23</c:f>
              <c:numCache>
                <c:formatCode>0.0%</c:formatCode>
                <c:ptCount val="2"/>
                <c:pt idx="0">
                  <c:v>-5.8606451945817678E-2</c:v>
                </c:pt>
                <c:pt idx="1">
                  <c:v>0.94139354805418229</c:v>
                </c:pt>
              </c:numCache>
            </c:numRef>
          </c:val>
          <c:extLst>
            <c:ext xmlns:c15="http://schemas.microsoft.com/office/drawing/2012/chart" uri="{02D57815-91ED-43cb-92C2-25804820EDAC}">
              <c15:categoryFilterExceptions>
                <c15:categoryFilterException>
                  <c15:sqref>' Ratios '!$C$24</c15:sqref>
                  <c15:spPr xmlns:c15="http://schemas.microsoft.com/office/drawing/2012/chart">
                    <a:solidFill>
                      <a:schemeClr val="accent6">
                        <a:lumMod val="40000"/>
                        <a:lumOff val="60000"/>
                      </a:schemeClr>
                    </a:solidFill>
                    <a:ln w="6350">
                      <a:solidFill>
                        <a:schemeClr val="accent2">
                          <a:lumMod val="75000"/>
                        </a:schemeClr>
                      </a:solidFill>
                    </a:ln>
                    <a:effectLst/>
                  </c15:spPr>
                  <c15:bubble3D val="0"/>
                </c15:categoryFilterException>
              </c15:categoryFilterExceptions>
            </c:ext>
            <c:ext xmlns:c16="http://schemas.microsoft.com/office/drawing/2014/chart" uri="{C3380CC4-5D6E-409C-BE32-E72D297353CC}">
              <c16:uniqueId val="{00000006-7256-4E05-B3F7-18E82AF9972C}"/>
            </c:ext>
          </c:extLst>
        </c:ser>
        <c:dLbls>
          <c:showLegendKey val="0"/>
          <c:showVal val="0"/>
          <c:showCatName val="0"/>
          <c:showSerName val="0"/>
          <c:showPercent val="0"/>
          <c:showBubbleSize val="0"/>
          <c:showLeaderLines val="1"/>
        </c:dLbls>
        <c:firstSliceAng val="0"/>
        <c:holeSize val="51"/>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manualLayout>
          <c:xMode val="edge"/>
          <c:yMode val="edge"/>
          <c:x val="1.3127651067439158E-3"/>
          <c:y val="0.22426375639523949"/>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lotArea>
      <c:layout>
        <c:manualLayout>
          <c:layoutTarget val="inner"/>
          <c:xMode val="edge"/>
          <c:yMode val="edge"/>
          <c:x val="0.2270230708185195"/>
          <c:y val="0.32015082998192179"/>
          <c:w val="0.61445801410396528"/>
          <c:h val="0.66673677987938573"/>
        </c:manualLayout>
      </c:layout>
      <c:doughnutChart>
        <c:varyColors val="1"/>
        <c:ser>
          <c:idx val="0"/>
          <c:order val="0"/>
          <c:tx>
            <c:strRef>
              <c:f>' Ratios '!$K$17</c:f>
              <c:strCache>
                <c:ptCount val="1"/>
                <c:pt idx="0">
                  <c:v>Net Income (PAT) / Total Assets</c:v>
                </c:pt>
              </c:strCache>
            </c:strRef>
          </c:tx>
          <c:spPr>
            <a:solidFill>
              <a:srgbClr val="FFD85B"/>
            </a:solidFill>
            <a:ln>
              <a:solidFill>
                <a:srgbClr val="002060"/>
              </a:solidFill>
            </a:ln>
          </c:spPr>
          <c:explosion val="14"/>
          <c:dPt>
            <c:idx val="0"/>
            <c:bubble3D val="0"/>
            <c:spPr>
              <a:solidFill>
                <a:srgbClr val="FFD85B"/>
              </a:solidFill>
              <a:ln w="19050">
                <a:solidFill>
                  <a:srgbClr val="002060"/>
                </a:solidFill>
              </a:ln>
              <a:effectLst/>
            </c:spPr>
            <c:extLst>
              <c:ext xmlns:c16="http://schemas.microsoft.com/office/drawing/2014/chart" uri="{C3380CC4-5D6E-409C-BE32-E72D297353CC}">
                <c16:uniqueId val="{00000001-DD5B-444B-BD53-B5038E3608BE}"/>
              </c:ext>
            </c:extLst>
          </c:dPt>
          <c:dPt>
            <c:idx val="1"/>
            <c:bubble3D val="0"/>
            <c:spPr>
              <a:solidFill>
                <a:srgbClr val="FFD85B"/>
              </a:solidFill>
              <a:ln w="6350">
                <a:solidFill>
                  <a:srgbClr val="002060"/>
                </a:solidFill>
              </a:ln>
              <a:effectLst/>
            </c:spPr>
            <c:extLst>
              <c:ext xmlns:c16="http://schemas.microsoft.com/office/drawing/2014/chart" uri="{C3380CC4-5D6E-409C-BE32-E72D297353CC}">
                <c16:uniqueId val="{00000003-DD5B-444B-BD53-B5038E3608BE}"/>
              </c:ext>
            </c:extLst>
          </c:dPt>
          <c:dLbls>
            <c:dLbl>
              <c:idx val="1"/>
              <c:spPr>
                <a:noFill/>
                <a:ln>
                  <a:noFill/>
                </a:ln>
                <a:effectLst/>
              </c:spPr>
              <c:txPr>
                <a:bodyPr rot="0" spcFirstLastPara="1" vertOverflow="ellipsis" vert="horz" wrap="square" lIns="38100" tIns="19050" rIns="38100" bIns="19050" anchor="ctr" anchorCtr="1">
                  <a:noAutofit/>
                </a:bodyPr>
                <a:lstStyle/>
                <a:p>
                  <a:pPr>
                    <a:defRPr sz="14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4027714379531381"/>
                      <c:h val="0.1448548729658328"/>
                    </c:manualLayout>
                  </c15:layout>
                </c:ext>
                <c:ext xmlns:c16="http://schemas.microsoft.com/office/drawing/2014/chart" uri="{C3380CC4-5D6E-409C-BE32-E72D297353CC}">
                  <c16:uniqueId val="{00000003-DD5B-444B-BD53-B5038E3608BE}"/>
                </c:ext>
              </c:extLst>
            </c:dLbl>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extLst>
                <c:ext xmlns:c15="http://schemas.microsoft.com/office/drawing/2012/chart" uri="{02D57815-91ED-43cb-92C2-25804820EDAC}">
                  <c15:fullRef>
                    <c15:sqref>' Ratios '!$B$22:$B$24</c15:sqref>
                  </c15:fullRef>
                </c:ext>
              </c:extLst>
              <c:f>' Ratios '!$B$22:$B$23</c:f>
              <c:strCache>
                <c:ptCount val="2"/>
                <c:pt idx="0">
                  <c:v>Value</c:v>
                </c:pt>
                <c:pt idx="1">
                  <c:v>Blank</c:v>
                </c:pt>
              </c:strCache>
            </c:strRef>
          </c:cat>
          <c:val>
            <c:numRef>
              <c:extLst>
                <c:ext xmlns:c15="http://schemas.microsoft.com/office/drawing/2012/chart" uri="{02D57815-91ED-43cb-92C2-25804820EDAC}">
                  <c15:fullRef>
                    <c15:sqref>' Ratios '!$D$22:$D$24</c15:sqref>
                  </c15:fullRef>
                </c:ext>
              </c:extLst>
              <c:f>' Ratios '!$D$22:$D$23</c:f>
              <c:numCache>
                <c:formatCode>0.00%</c:formatCode>
                <c:ptCount val="2"/>
                <c:pt idx="0" formatCode="0.0%">
                  <c:v>-2.6848914359021554E-2</c:v>
                </c:pt>
                <c:pt idx="1">
                  <c:v>0.97315108564097841</c:v>
                </c:pt>
              </c:numCache>
            </c:numRef>
          </c:val>
          <c:extLst>
            <c:ext xmlns:c15="http://schemas.microsoft.com/office/drawing/2012/chart" uri="{02D57815-91ED-43cb-92C2-25804820EDAC}">
              <c15:categoryFilterExceptions>
                <c15:categoryFilterException>
                  <c15:sqref>' Ratios '!$D$24</c15:sqref>
                  <c15:spPr xmlns:c15="http://schemas.microsoft.com/office/drawing/2012/chart">
                    <a:solidFill>
                      <a:srgbClr val="FFD85B"/>
                    </a:solidFill>
                    <a:ln w="6350">
                      <a:solidFill>
                        <a:srgbClr val="002060"/>
                      </a:solidFill>
                    </a:ln>
                    <a:effectLst/>
                  </c15:spPr>
                  <c15:bubble3D val="0"/>
                </c15:categoryFilterException>
              </c15:categoryFilterExceptions>
            </c:ext>
            <c:ext xmlns:c16="http://schemas.microsoft.com/office/drawing/2014/chart" uri="{C3380CC4-5D6E-409C-BE32-E72D297353CC}">
              <c16:uniqueId val="{00000006-DD5B-444B-BD53-B5038E3608BE}"/>
            </c:ext>
          </c:extLst>
        </c:ser>
        <c:dLbls>
          <c:showLegendKey val="0"/>
          <c:showVal val="0"/>
          <c:showCatName val="0"/>
          <c:showSerName val="0"/>
          <c:showPercent val="0"/>
          <c:showBubbleSize val="0"/>
          <c:showLeaderLines val="1"/>
        </c:dLbls>
        <c:firstSliceAng val="3"/>
        <c:holeSize val="47"/>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US" sz="1600" b="1">
                <a:solidFill>
                  <a:schemeClr val="accent2">
                    <a:lumMod val="60000"/>
                    <a:lumOff val="40000"/>
                  </a:schemeClr>
                </a:solidFill>
              </a:rPr>
              <a:t>Revenues </a:t>
            </a:r>
            <a:r>
              <a:rPr lang="en-US" sz="1600" b="1"/>
              <a:t>/ </a:t>
            </a:r>
            <a:r>
              <a:rPr lang="en-US" sz="1600" b="1">
                <a:solidFill>
                  <a:schemeClr val="accent1"/>
                </a:solidFill>
              </a:rPr>
              <a:t>Total Assets</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0"/>
        <c:ser>
          <c:idx val="0"/>
          <c:order val="0"/>
          <c:tx>
            <c:strRef>
              <c:f>' Ratios '!$K$15</c:f>
              <c:strCache>
                <c:ptCount val="1"/>
                <c:pt idx="0">
                  <c:v>Revenues / Total Assets</c:v>
                </c:pt>
              </c:strCache>
            </c:strRef>
          </c:tx>
          <c:spPr>
            <a:solidFill>
              <a:schemeClr val="accent2">
                <a:lumMod val="40000"/>
                <a:lumOff val="60000"/>
              </a:schemeClr>
            </a:solidFill>
            <a:ln w="19050">
              <a:solidFill>
                <a:schemeClr val="lt1"/>
              </a:solidFill>
            </a:ln>
            <a:effectLst/>
          </c:spPr>
          <c:dPt>
            <c:idx val="0"/>
            <c:bubble3D val="0"/>
            <c:explosion val="29"/>
            <c:spPr>
              <a:solidFill>
                <a:schemeClr val="accent2">
                  <a:lumMod val="40000"/>
                  <a:lumOff val="60000"/>
                </a:schemeClr>
              </a:solidFill>
              <a:ln w="19050">
                <a:solidFill>
                  <a:schemeClr val="lt1"/>
                </a:solidFill>
              </a:ln>
              <a:effectLst/>
            </c:spPr>
            <c:extLst>
              <c:ext xmlns:c16="http://schemas.microsoft.com/office/drawing/2014/chart" uri="{C3380CC4-5D6E-409C-BE32-E72D297353CC}">
                <c16:uniqueId val="{00000001-1FBA-4EF8-A1D3-DC107DB9AF59}"/>
              </c:ext>
            </c:extLst>
          </c:dPt>
          <c:dPt>
            <c:idx val="1"/>
            <c:bubble3D val="0"/>
            <c:spPr>
              <a:solidFill>
                <a:schemeClr val="accent1"/>
              </a:solidFill>
              <a:ln w="19050">
                <a:solidFill>
                  <a:schemeClr val="lt1"/>
                </a:solidFill>
              </a:ln>
              <a:effectLst/>
            </c:spPr>
            <c:extLst>
              <c:ext xmlns:c16="http://schemas.microsoft.com/office/drawing/2014/chart" uri="{C3380CC4-5D6E-409C-BE32-E72D297353CC}">
                <c16:uniqueId val="{00000003-1FBA-4EF8-A1D3-DC107DB9AF59}"/>
              </c:ext>
            </c:extLst>
          </c:dPt>
          <c:dLbls>
            <c:dLbl>
              <c:idx val="1"/>
              <c:layout>
                <c:manualLayout>
                  <c:x val="1.4506913989981761E-2"/>
                  <c:y val="0.19001775394226977"/>
                </c:manualLayout>
              </c:layout>
              <c:numFmt formatCode="0.00%" sourceLinked="0"/>
              <c:spPr>
                <a:noFill/>
                <a:ln>
                  <a:noFill/>
                </a:ln>
                <a:effectLst/>
              </c:spPr>
              <c:txPr>
                <a:bodyPr rot="0" spcFirstLastPara="1" vertOverflow="ellipsis" vert="horz" wrap="square" lIns="38100" tIns="19050" rIns="38100" bIns="19050" anchor="ctr" anchorCtr="1">
                  <a:no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6516550141312512"/>
                      <c:h val="0.12915521697483956"/>
                    </c:manualLayout>
                  </c15:layout>
                </c:ext>
                <c:ext xmlns:c16="http://schemas.microsoft.com/office/drawing/2014/chart" uri="{C3380CC4-5D6E-409C-BE32-E72D297353CC}">
                  <c16:uniqueId val="{00000003-1FBA-4EF8-A1D3-DC107DB9AF59}"/>
                </c:ext>
              </c:extLst>
            </c:dLbl>
            <c:numFmt formatCode="0.00%" sourceLinked="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val>
            <c:numRef>
              <c:f>(' Ratios '!$F$22,' Ratios '!$F$25)</c:f>
              <c:numCache>
                <c:formatCode>0%</c:formatCode>
                <c:ptCount val="2"/>
                <c:pt idx="0">
                  <c:v>0.30403941354533737</c:v>
                </c:pt>
                <c:pt idx="1">
                  <c:v>1</c:v>
                </c:pt>
              </c:numCache>
            </c:numRef>
          </c:val>
          <c:extLst>
            <c:ext xmlns:c16="http://schemas.microsoft.com/office/drawing/2014/chart" uri="{C3380CC4-5D6E-409C-BE32-E72D297353CC}">
              <c16:uniqueId val="{00000006-1FBA-4EF8-A1D3-DC107DB9AF59}"/>
            </c:ext>
          </c:extLst>
        </c:ser>
        <c:dLbls>
          <c:showLegendKey val="0"/>
          <c:showVal val="0"/>
          <c:showCatName val="0"/>
          <c:showSerName val="0"/>
          <c:showPercent val="0"/>
          <c:showBubbleSize val="0"/>
          <c:showLeaderLines val="1"/>
        </c:dLbls>
        <c:firstSliceAng val="0"/>
        <c:holeSize val="44"/>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6983206856056869E-2"/>
          <c:y val="2.8856553391440283E-2"/>
          <c:w val="0.94972304517267903"/>
          <c:h val="0.73213307869886479"/>
        </c:manualLayout>
      </c:layout>
      <c:lineChart>
        <c:grouping val="standard"/>
        <c:varyColors val="0"/>
        <c:ser>
          <c:idx val="0"/>
          <c:order val="0"/>
          <c:spPr>
            <a:ln w="28575" cap="rnd">
              <a:solidFill>
                <a:srgbClr val="FF0000"/>
              </a:solidFill>
              <a:round/>
            </a:ln>
            <a:effectLst/>
          </c:spPr>
          <c:marker>
            <c:symbol val="diamond"/>
            <c:size val="7"/>
            <c:spPr>
              <a:solidFill>
                <a:srgbClr val="FF0000"/>
              </a:solidFill>
              <a:ln w="9525">
                <a:solidFill>
                  <a:srgbClr val="FF0000"/>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 Ratios '!$C$3:$J$3</c:f>
              <c:strCache>
                <c:ptCount val="8"/>
                <c:pt idx="0">
                  <c:v>2017</c:v>
                </c:pt>
                <c:pt idx="1">
                  <c:v>2018</c:v>
                </c:pt>
                <c:pt idx="2">
                  <c:v>2019</c:v>
                </c:pt>
                <c:pt idx="3">
                  <c:v>2020</c:v>
                </c:pt>
                <c:pt idx="4">
                  <c:v>2021</c:v>
                </c:pt>
                <c:pt idx="5">
                  <c:v>2022</c:v>
                </c:pt>
                <c:pt idx="6">
                  <c:v>2023</c:v>
                </c:pt>
                <c:pt idx="7">
                  <c:v>2024 (6m)</c:v>
                </c:pt>
              </c:strCache>
            </c:strRef>
          </c:cat>
          <c:val>
            <c:numRef>
              <c:f>' Ratios '!$C$19:$J$19</c:f>
              <c:numCache>
                <c:formatCode>0.00</c:formatCode>
                <c:ptCount val="8"/>
                <c:pt idx="0">
                  <c:v>0.14443984395854589</c:v>
                </c:pt>
                <c:pt idx="1">
                  <c:v>6.4802405722696133E-2</c:v>
                </c:pt>
                <c:pt idx="2">
                  <c:v>9.3406082782370684E-2</c:v>
                </c:pt>
                <c:pt idx="3">
                  <c:v>0.13622282705221561</c:v>
                </c:pt>
                <c:pt idx="4">
                  <c:v>0.22552329177304536</c:v>
                </c:pt>
                <c:pt idx="5">
                  <c:v>0.2527412097371653</c:v>
                </c:pt>
                <c:pt idx="6">
                  <c:v>7.0817246505435541E-2</c:v>
                </c:pt>
                <c:pt idx="7">
                  <c:v>0.10392089946126058</c:v>
                </c:pt>
              </c:numCache>
            </c:numRef>
          </c:val>
          <c:smooth val="1"/>
          <c:extLst>
            <c:ext xmlns:c16="http://schemas.microsoft.com/office/drawing/2014/chart" uri="{C3380CC4-5D6E-409C-BE32-E72D297353CC}">
              <c16:uniqueId val="{00000000-20CF-4EFF-8474-F6FAAB461757}"/>
            </c:ext>
          </c:extLst>
        </c:ser>
        <c:dLbls>
          <c:showLegendKey val="0"/>
          <c:showVal val="0"/>
          <c:showCatName val="0"/>
          <c:showSerName val="0"/>
          <c:showPercent val="0"/>
          <c:showBubbleSize val="0"/>
        </c:dLbls>
        <c:marker val="1"/>
        <c:smooth val="0"/>
        <c:axId val="1281215167"/>
        <c:axId val="1281216831"/>
      </c:lineChart>
      <c:catAx>
        <c:axId val="1281215167"/>
        <c:scaling>
          <c:orientation val="minMax"/>
        </c:scaling>
        <c:delete val="0"/>
        <c:axPos val="b"/>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1600" b="1"/>
                  <a:t>Year </a:t>
                </a:r>
              </a:p>
            </c:rich>
          </c:tx>
          <c:layout>
            <c:manualLayout>
              <c:xMode val="edge"/>
              <c:yMode val="edge"/>
              <c:x val="0.51671018886228859"/>
              <c:y val="0.86803986876439498"/>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600" b="1" i="0" u="none" strike="noStrike" kern="1200" baseline="0">
                <a:solidFill>
                  <a:schemeClr val="tx1"/>
                </a:solidFill>
                <a:latin typeface="Arial Narrow" panose="020B0606020202030204" pitchFamily="34" charset="0"/>
                <a:ea typeface="+mn-ea"/>
                <a:cs typeface="+mn-cs"/>
              </a:defRPr>
            </a:pPr>
            <a:endParaRPr lang="en-US"/>
          </a:p>
        </c:txPr>
        <c:crossAx val="1281216831"/>
        <c:crosses val="autoZero"/>
        <c:auto val="1"/>
        <c:lblAlgn val="ctr"/>
        <c:lblOffset val="100"/>
        <c:noMultiLvlLbl val="0"/>
      </c:catAx>
      <c:valAx>
        <c:axId val="1281216831"/>
        <c:scaling>
          <c:orientation val="minMax"/>
        </c:scaling>
        <c:delete val="1"/>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crossAx val="1281215167"/>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_xlchart.v1.1</cx:f>
      </cx:numDim>
    </cx:data>
  </cx:chartData>
  <cx:chart>
    <cx:title pos="t" align="ctr" overlay="0">
      <cx:tx>
        <cx:txData>
          <cx:v>6 months Profit &amp; Loss  </cx:v>
        </cx:txData>
      </cx:tx>
      <cx:txPr>
        <a:bodyPr spcFirstLastPara="1" vertOverflow="ellipsis" horzOverflow="overflow" wrap="square" lIns="0" tIns="0" rIns="0" bIns="0" anchor="ctr" anchorCtr="1"/>
        <a:lstStyle/>
        <a:p>
          <a:pPr algn="ctr" rtl="0">
            <a:defRPr sz="2000" b="1">
              <a:solidFill>
                <a:srgbClr val="FF0000"/>
              </a:solidFill>
            </a:defRPr>
          </a:pPr>
          <a:r>
            <a:rPr lang="en-US" sz="2000" b="1" i="0" u="none" strike="noStrike" baseline="0">
              <a:solidFill>
                <a:srgbClr val="FF0000"/>
              </a:solidFill>
              <a:latin typeface="Calibri" panose="020F0502020204030204"/>
            </a:rPr>
            <a:t>6 months Profit &amp; Loss  </a:t>
          </a:r>
        </a:p>
      </cx:txPr>
    </cx:title>
    <cx:plotArea>
      <cx:plotAreaRegion>
        <cx:series layoutId="waterfall" uniqueId="{F5F2D4D0-53A5-4D44-8ED7-E659EF0295C2}">
          <cx:dataId val="0"/>
          <cx:layoutPr>
            <cx:subtotals/>
          </cx:layoutPr>
        </cx:series>
      </cx:plotAreaRegion>
      <cx:axis id="0">
        <cx:catScaling gapWidth="0.25"/>
        <cx:title/>
        <cx:tickLabels/>
        <cx:txPr>
          <a:bodyPr spcFirstLastPara="1" vertOverflow="ellipsis" horzOverflow="overflow" wrap="square" lIns="0" tIns="0" rIns="0" bIns="0" anchor="ctr" anchorCtr="1"/>
          <a:lstStyle/>
          <a:p>
            <a:pPr algn="ctr" rtl="0">
              <a:defRPr sz="1100" b="1">
                <a:solidFill>
                  <a:schemeClr val="tx1"/>
                </a:solidFill>
                <a:latin typeface="Arial Narrow" panose="020B0606020202030204" pitchFamily="34" charset="0"/>
                <a:ea typeface="Arial Narrow" panose="020B0606020202030204" pitchFamily="34" charset="0"/>
                <a:cs typeface="Arial Narrow" panose="020B0606020202030204" pitchFamily="34" charset="0"/>
              </a:defRPr>
            </a:pPr>
            <a:endParaRPr lang="en-US" sz="1100" b="1" i="0" u="none" strike="noStrike" baseline="0">
              <a:solidFill>
                <a:schemeClr val="tx1"/>
              </a:solidFill>
              <a:latin typeface="Arial Narrow" panose="020B0606020202030204" pitchFamily="34" charset="0"/>
            </a:endParaRPr>
          </a:p>
        </cx:txPr>
      </cx:axis>
      <cx:axis id="1" hidden="1">
        <cx:valScaling/>
        <cx:units unit="thousands"/>
        <cx:majorGridlines/>
        <cx:tickLabels/>
        <cx:txPr>
          <a:bodyPr spcFirstLastPara="1" vertOverflow="ellipsis" horzOverflow="overflow" wrap="square" lIns="0" tIns="0" rIns="0" bIns="0" anchor="ctr" anchorCtr="1"/>
          <a:lstStyle/>
          <a:p>
            <a:pPr algn="ctr" rtl="0">
              <a:defRPr sz="800" b="1">
                <a:solidFill>
                  <a:schemeClr val="tx1"/>
                </a:solidFill>
                <a:latin typeface="Arial Narrow" panose="020B0606020202030204" pitchFamily="34" charset="0"/>
                <a:ea typeface="Arial Narrow" panose="020B0606020202030204" pitchFamily="34" charset="0"/>
                <a:cs typeface="Arial Narrow" panose="020B0606020202030204" pitchFamily="34" charset="0"/>
              </a:defRPr>
            </a:pPr>
            <a:endParaRPr lang="en-US" sz="800" b="1" i="0" u="none" strike="noStrike" baseline="0">
              <a:solidFill>
                <a:schemeClr val="tx1"/>
              </a:solidFill>
              <a:latin typeface="Arial Narrow" panose="020B0606020202030204" pitchFamily="34" charset="0"/>
            </a:endParaRPr>
          </a:p>
        </cx:txPr>
      </cx:axis>
    </cx:plotArea>
    <cx:legend pos="t" align="ctr" overlay="0"/>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97">
  <cs:axisTitle>
    <cs:lnRef idx="0"/>
    <cs:fillRef idx="0"/>
    <cs:effectRef idx="0"/>
    <cs:fontRef idx="minor">
      <a:schemeClr val="dk1">
        <a:lumMod val="75000"/>
        <a:lumOff val="25000"/>
      </a:schemeClr>
    </cs:fontRef>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dk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8">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3.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2.xml"/><Relationship Id="rId7" Type="http://schemas.openxmlformats.org/officeDocument/2006/relationships/chart" Target="../charts/chart6.xml"/><Relationship Id="rId2" Type="http://schemas.openxmlformats.org/officeDocument/2006/relationships/chart" Target="../charts/chart1.xml"/><Relationship Id="rId1" Type="http://schemas.microsoft.com/office/2014/relationships/chartEx" Target="../charts/chartEx1.xml"/><Relationship Id="rId6" Type="http://schemas.openxmlformats.org/officeDocument/2006/relationships/chart" Target="../charts/chart5.xml"/><Relationship Id="rId11" Type="http://schemas.openxmlformats.org/officeDocument/2006/relationships/chart" Target="../charts/chart10.xml"/><Relationship Id="rId5" Type="http://schemas.openxmlformats.org/officeDocument/2006/relationships/chart" Target="../charts/chart4.xml"/><Relationship Id="rId10" Type="http://schemas.openxmlformats.org/officeDocument/2006/relationships/chart" Target="../charts/chart9.xml"/><Relationship Id="rId4" Type="http://schemas.openxmlformats.org/officeDocument/2006/relationships/chart" Target="../charts/chart3.xml"/><Relationship Id="rId9"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1</xdr:col>
      <xdr:colOff>39520</xdr:colOff>
      <xdr:row>3</xdr:row>
      <xdr:rowOff>4659</xdr:rowOff>
    </xdr:from>
    <xdr:to>
      <xdr:col>22</xdr:col>
      <xdr:colOff>613834</xdr:colOff>
      <xdr:row>24</xdr:row>
      <xdr:rowOff>127000</xdr:rowOff>
    </xdr:to>
    <mc:AlternateContent xmlns:mc="http://schemas.openxmlformats.org/markup-compatibility/2006">
      <mc:Choice xmlns:cx1="http://schemas.microsoft.com/office/drawing/2015/9/8/chartex" Requires="cx1">
        <xdr:graphicFrame macro="">
          <xdr:nvGraphicFramePr>
            <xdr:cNvPr id="16" name="Income Statement">
              <a:extLst>
                <a:ext uri="{FF2B5EF4-FFF2-40B4-BE49-F238E27FC236}">
                  <a16:creationId xmlns:a16="http://schemas.microsoft.com/office/drawing/2014/main" id="{31DF2785-82C6-44B1-AD94-E620FD872C0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153820" y="1242909"/>
              <a:ext cx="12547239" cy="4332391"/>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xdr:col>
      <xdr:colOff>6773</xdr:colOff>
      <xdr:row>28</xdr:row>
      <xdr:rowOff>45720</xdr:rowOff>
    </xdr:from>
    <xdr:to>
      <xdr:col>11</xdr:col>
      <xdr:colOff>931334</xdr:colOff>
      <xdr:row>39</xdr:row>
      <xdr:rowOff>127000</xdr:rowOff>
    </xdr:to>
    <xdr:graphicFrame macro="">
      <xdr:nvGraphicFramePr>
        <xdr:cNvPr id="3" name="GrossProfit Margn">
          <a:extLst>
            <a:ext uri="{FF2B5EF4-FFF2-40B4-BE49-F238E27FC236}">
              <a16:creationId xmlns:a16="http://schemas.microsoft.com/office/drawing/2014/main" id="{4A089A76-58CA-4D9D-8CF1-C9D963DD22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84668</xdr:colOff>
      <xdr:row>29</xdr:row>
      <xdr:rowOff>106679</xdr:rowOff>
    </xdr:from>
    <xdr:to>
      <xdr:col>28</xdr:col>
      <xdr:colOff>1174751</xdr:colOff>
      <xdr:row>39</xdr:row>
      <xdr:rowOff>211666</xdr:rowOff>
    </xdr:to>
    <xdr:graphicFrame macro="">
      <xdr:nvGraphicFramePr>
        <xdr:cNvPr id="4" name="Operating PMargin">
          <a:extLst>
            <a:ext uri="{FF2B5EF4-FFF2-40B4-BE49-F238E27FC236}">
              <a16:creationId xmlns:a16="http://schemas.microsoft.com/office/drawing/2014/main" id="{DEB11FC9-3955-4BC8-9DDB-58577364AC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31</xdr:col>
      <xdr:colOff>1693</xdr:colOff>
      <xdr:row>28</xdr:row>
      <xdr:rowOff>121920</xdr:rowOff>
    </xdr:from>
    <xdr:to>
      <xdr:col>43</xdr:col>
      <xdr:colOff>550333</xdr:colOff>
      <xdr:row>39</xdr:row>
      <xdr:rowOff>158750</xdr:rowOff>
    </xdr:to>
    <xdr:graphicFrame macro="">
      <xdr:nvGraphicFramePr>
        <xdr:cNvPr id="5" name="NetIncomeMargin">
          <a:extLst>
            <a:ext uri="{FF2B5EF4-FFF2-40B4-BE49-F238E27FC236}">
              <a16:creationId xmlns:a16="http://schemas.microsoft.com/office/drawing/2014/main" id="{1DFC3EA1-B037-4A38-B26C-B1775E5DE7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-1</xdr:colOff>
      <xdr:row>42</xdr:row>
      <xdr:rowOff>76200</xdr:rowOff>
    </xdr:from>
    <xdr:to>
      <xdr:col>11</xdr:col>
      <xdr:colOff>889000</xdr:colOff>
      <xdr:row>52</xdr:row>
      <xdr:rowOff>95250</xdr:rowOff>
    </xdr:to>
    <xdr:graphicFrame macro="">
      <xdr:nvGraphicFramePr>
        <xdr:cNvPr id="6" name="CCC">
          <a:extLst>
            <a:ext uri="{FF2B5EF4-FFF2-40B4-BE49-F238E27FC236}">
              <a16:creationId xmlns:a16="http://schemas.microsoft.com/office/drawing/2014/main" id="{3F3858CB-1B9D-487F-A71D-69F4433AD4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45720</xdr:colOff>
      <xdr:row>42</xdr:row>
      <xdr:rowOff>45719</xdr:rowOff>
    </xdr:from>
    <xdr:to>
      <xdr:col>28</xdr:col>
      <xdr:colOff>920750</xdr:colOff>
      <xdr:row>52</xdr:row>
      <xdr:rowOff>285750</xdr:rowOff>
    </xdr:to>
    <xdr:graphicFrame macro="">
      <xdr:nvGraphicFramePr>
        <xdr:cNvPr id="7" name="Debt-to-Equity">
          <a:extLst>
            <a:ext uri="{FF2B5EF4-FFF2-40B4-BE49-F238E27FC236}">
              <a16:creationId xmlns:a16="http://schemas.microsoft.com/office/drawing/2014/main" id="{4BCFF302-9A28-464C-A4D6-454A8A85F7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31</xdr:col>
      <xdr:colOff>333375</xdr:colOff>
      <xdr:row>42</xdr:row>
      <xdr:rowOff>10160</xdr:rowOff>
    </xdr:from>
    <xdr:to>
      <xdr:col>43</xdr:col>
      <xdr:colOff>137583</xdr:colOff>
      <xdr:row>51</xdr:row>
      <xdr:rowOff>63500</xdr:rowOff>
    </xdr:to>
    <xdr:graphicFrame macro="">
      <xdr:nvGraphicFramePr>
        <xdr:cNvPr id="8" name="Cratio_&amp;_Qratio">
          <a:extLst>
            <a:ext uri="{FF2B5EF4-FFF2-40B4-BE49-F238E27FC236}">
              <a16:creationId xmlns:a16="http://schemas.microsoft.com/office/drawing/2014/main" id="{C39F65F2-21D6-40BB-9D18-11E5B6D0F5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31</xdr:col>
      <xdr:colOff>0</xdr:colOff>
      <xdr:row>2</xdr:row>
      <xdr:rowOff>761999</xdr:rowOff>
    </xdr:from>
    <xdr:to>
      <xdr:col>36</xdr:col>
      <xdr:colOff>148167</xdr:colOff>
      <xdr:row>14</xdr:row>
      <xdr:rowOff>121919</xdr:rowOff>
    </xdr:to>
    <xdr:graphicFrame macro="">
      <xdr:nvGraphicFramePr>
        <xdr:cNvPr id="9" name="Chart 8">
          <a:extLst>
            <a:ext uri="{FF2B5EF4-FFF2-40B4-BE49-F238E27FC236}">
              <a16:creationId xmlns:a16="http://schemas.microsoft.com/office/drawing/2014/main" id="{0B348A32-73FC-4E6B-8E06-6A6E5409A5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33</xdr:col>
      <xdr:colOff>233680</xdr:colOff>
      <xdr:row>8</xdr:row>
      <xdr:rowOff>223097</xdr:rowOff>
    </xdr:from>
    <xdr:to>
      <xdr:col>34</xdr:col>
      <xdr:colOff>542635</xdr:colOff>
      <xdr:row>10</xdr:row>
      <xdr:rowOff>217556</xdr:rowOff>
    </xdr:to>
    <xdr:sp macro="" textlink="' Ratios '!C22">
      <xdr:nvSpPr>
        <xdr:cNvPr id="10" name="TextBox 9">
          <a:extLst>
            <a:ext uri="{FF2B5EF4-FFF2-40B4-BE49-F238E27FC236}">
              <a16:creationId xmlns:a16="http://schemas.microsoft.com/office/drawing/2014/main" id="{5B66E1F8-08C9-8CE5-E549-DEFAF3246F0E}"/>
            </a:ext>
          </a:extLst>
        </xdr:cNvPr>
        <xdr:cNvSpPr txBox="1"/>
      </xdr:nvSpPr>
      <xdr:spPr>
        <a:xfrm>
          <a:off x="18320597" y="2519680"/>
          <a:ext cx="954538" cy="6506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0B1F5D15-8A8F-469B-A00C-1F4B6CC143C4}" type="TxLink">
            <a:rPr lang="en-US" sz="2400" b="1" i="0" u="none" strike="noStrike">
              <a:solidFill>
                <a:srgbClr val="000000"/>
              </a:solidFill>
              <a:latin typeface="Arial Narrow"/>
            </a:rPr>
            <a:pPr algn="ctr"/>
            <a:t>-5.9%</a:t>
          </a:fld>
          <a:endParaRPr lang="fr-FR" sz="2400" b="1"/>
        </a:p>
      </xdr:txBody>
    </xdr:sp>
    <xdr:clientData/>
  </xdr:twoCellAnchor>
  <xdr:twoCellAnchor>
    <xdr:from>
      <xdr:col>38</xdr:col>
      <xdr:colOff>371302</xdr:colOff>
      <xdr:row>2</xdr:row>
      <xdr:rowOff>243841</xdr:rowOff>
    </xdr:from>
    <xdr:to>
      <xdr:col>43</xdr:col>
      <xdr:colOff>289560</xdr:colOff>
      <xdr:row>14</xdr:row>
      <xdr:rowOff>15240</xdr:rowOff>
    </xdr:to>
    <xdr:graphicFrame macro="">
      <xdr:nvGraphicFramePr>
        <xdr:cNvPr id="11" name="Chart 10">
          <a:extLst>
            <a:ext uri="{FF2B5EF4-FFF2-40B4-BE49-F238E27FC236}">
              <a16:creationId xmlns:a16="http://schemas.microsoft.com/office/drawing/2014/main" id="{E2413F46-D212-4ADF-991A-021D76815E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40</xdr:col>
      <xdr:colOff>153631</xdr:colOff>
      <xdr:row>8</xdr:row>
      <xdr:rowOff>198658</xdr:rowOff>
    </xdr:from>
    <xdr:to>
      <xdr:col>41</xdr:col>
      <xdr:colOff>499994</xdr:colOff>
      <xdr:row>10</xdr:row>
      <xdr:rowOff>184804</xdr:rowOff>
    </xdr:to>
    <xdr:sp macro="" textlink="' Ratios '!D22">
      <xdr:nvSpPr>
        <xdr:cNvPr id="13" name="TextBox 12">
          <a:extLst>
            <a:ext uri="{FF2B5EF4-FFF2-40B4-BE49-F238E27FC236}">
              <a16:creationId xmlns:a16="http://schemas.microsoft.com/office/drawing/2014/main" id="{B8683914-7C14-A0CC-4784-DA8853999108}"/>
            </a:ext>
          </a:extLst>
        </xdr:cNvPr>
        <xdr:cNvSpPr txBox="1"/>
      </xdr:nvSpPr>
      <xdr:spPr>
        <a:xfrm>
          <a:off x="22262214" y="2495241"/>
          <a:ext cx="991947" cy="6423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C77647A2-0700-413C-A332-3B7BBED83F46}" type="TxLink">
            <a:rPr lang="en-US" sz="2400" b="1" i="0" u="none" strike="noStrike">
              <a:solidFill>
                <a:srgbClr val="000000"/>
              </a:solidFill>
              <a:latin typeface="Arial Narrow"/>
              <a:ea typeface="+mn-ea"/>
              <a:cs typeface="+mn-cs"/>
            </a:rPr>
            <a:pPr marL="0" indent="0" algn="ctr"/>
            <a:t>-2.7%</a:t>
          </a:fld>
          <a:endParaRPr lang="fr-FR" sz="2400" b="1" i="0" u="none" strike="noStrike">
            <a:solidFill>
              <a:srgbClr val="000000"/>
            </a:solidFill>
            <a:latin typeface="Arial Narrow"/>
            <a:ea typeface="+mn-ea"/>
            <a:cs typeface="+mn-cs"/>
          </a:endParaRPr>
        </a:p>
      </xdr:txBody>
    </xdr:sp>
    <xdr:clientData/>
  </xdr:twoCellAnchor>
  <xdr:twoCellAnchor>
    <xdr:from>
      <xdr:col>24</xdr:col>
      <xdr:colOff>76201</xdr:colOff>
      <xdr:row>3</xdr:row>
      <xdr:rowOff>30480</xdr:rowOff>
    </xdr:from>
    <xdr:to>
      <xdr:col>28</xdr:col>
      <xdr:colOff>1037167</xdr:colOff>
      <xdr:row>13</xdr:row>
      <xdr:rowOff>91440</xdr:rowOff>
    </xdr:to>
    <xdr:graphicFrame macro="">
      <xdr:nvGraphicFramePr>
        <xdr:cNvPr id="12" name="Chart 11">
          <a:extLst>
            <a:ext uri="{FF2B5EF4-FFF2-40B4-BE49-F238E27FC236}">
              <a16:creationId xmlns:a16="http://schemas.microsoft.com/office/drawing/2014/main" id="{FB974CE6-5938-498E-89B4-626E3CADAF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26</xdr:col>
      <xdr:colOff>372533</xdr:colOff>
      <xdr:row>7</xdr:row>
      <xdr:rowOff>140970</xdr:rowOff>
    </xdr:from>
    <xdr:to>
      <xdr:col>27</xdr:col>
      <xdr:colOff>570653</xdr:colOff>
      <xdr:row>9</xdr:row>
      <xdr:rowOff>186690</xdr:rowOff>
    </xdr:to>
    <xdr:sp macro="" textlink="' Ratios '!F22">
      <xdr:nvSpPr>
        <xdr:cNvPr id="14" name="TextBox 13">
          <a:extLst>
            <a:ext uri="{FF2B5EF4-FFF2-40B4-BE49-F238E27FC236}">
              <a16:creationId xmlns:a16="http://schemas.microsoft.com/office/drawing/2014/main" id="{9A5D60E3-3ED3-5107-DAA0-5A37D71F453E}"/>
            </a:ext>
          </a:extLst>
        </xdr:cNvPr>
        <xdr:cNvSpPr txBox="1"/>
      </xdr:nvSpPr>
      <xdr:spPr>
        <a:xfrm>
          <a:off x="14628283" y="2109470"/>
          <a:ext cx="843703" cy="7018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E416989-3E5B-4A51-8496-0758E802B618}" type="TxLink">
            <a:rPr lang="en-US" sz="2400" b="1" i="0" u="none" strike="noStrike">
              <a:solidFill>
                <a:srgbClr val="000000"/>
              </a:solidFill>
              <a:latin typeface="Arial Narrow"/>
            </a:rPr>
            <a:pPr/>
            <a:t>30%</a:t>
          </a:fld>
          <a:endParaRPr lang="fr-FR" sz="2000" b="1"/>
        </a:p>
      </xdr:txBody>
    </xdr:sp>
    <xdr:clientData/>
  </xdr:twoCellAnchor>
  <xdr:twoCellAnchor>
    <xdr:from>
      <xdr:col>1</xdr:col>
      <xdr:colOff>0</xdr:colOff>
      <xdr:row>56</xdr:row>
      <xdr:rowOff>95250</xdr:rowOff>
    </xdr:from>
    <xdr:to>
      <xdr:col>17</xdr:col>
      <xdr:colOff>123613</xdr:colOff>
      <xdr:row>67</xdr:row>
      <xdr:rowOff>51648</xdr:rowOff>
    </xdr:to>
    <xdr:graphicFrame macro="">
      <xdr:nvGraphicFramePr>
        <xdr:cNvPr id="2" name="Debt-to-Equity">
          <a:extLst>
            <a:ext uri="{FF2B5EF4-FFF2-40B4-BE49-F238E27FC236}">
              <a16:creationId xmlns:a16="http://schemas.microsoft.com/office/drawing/2014/main" id="{2DF05671-B67D-4B5F-B9F1-1D4D2E0CCE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83580</xdr:colOff>
      <xdr:row>30</xdr:row>
      <xdr:rowOff>134261</xdr:rowOff>
    </xdr:from>
    <xdr:to>
      <xdr:col>4</xdr:col>
      <xdr:colOff>191804</xdr:colOff>
      <xdr:row>39</xdr:row>
      <xdr:rowOff>134798</xdr:rowOff>
    </xdr:to>
    <xdr:sp macro="" textlink="">
      <xdr:nvSpPr>
        <xdr:cNvPr id="2" name="Arrow: Curved Up 1">
          <a:extLst>
            <a:ext uri="{FF2B5EF4-FFF2-40B4-BE49-F238E27FC236}">
              <a16:creationId xmlns:a16="http://schemas.microsoft.com/office/drawing/2014/main" id="{B53CE8C5-81F4-6FB9-B108-BA2BF5A3B4A8}"/>
            </a:ext>
          </a:extLst>
        </xdr:cNvPr>
        <xdr:cNvSpPr/>
      </xdr:nvSpPr>
      <xdr:spPr>
        <a:xfrm rot="15908522">
          <a:off x="2837761" y="6876505"/>
          <a:ext cx="1819812" cy="717824"/>
        </a:xfrm>
        <a:prstGeom prst="curvedUp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wsDr>
</file>

<file path=xl/persons/person.xml><?xml version="1.0" encoding="utf-8"?>
<personList xmlns="http://schemas.microsoft.com/office/spreadsheetml/2018/threadedcomments" xmlns:x="http://schemas.openxmlformats.org/spreadsheetml/2006/main">
  <person displayName="Tareq Sayed" id="{C1E5923B-D6C5-488C-AB1A-8B4B6C2D0B71}" userId="S::Tareq.Sayed@waraq.com::62cbc4a3-3a36-460e-b265-09d247452c3c"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15" dT="2023-08-27T08:12:38.68" personId="{C1E5923B-D6C5-488C-AB1A-8B4B6C2D0B71}" id="{FA0A6B1F-E035-4F90-B337-F701FA5177B9}">
    <text>Provision for Pre Payments</text>
  </threadedComment>
  <threadedComment ref="C47" dT="2023-08-27T10:17:39.66" personId="{C1E5923B-D6C5-488C-AB1A-8B4B6C2D0B71}" id="{E5B14E74-87B5-44D5-897B-7B63C5667FBC}">
    <text>Increase in share capital by 26.25 mill riyal</text>
  </threadedComment>
</ThreadedComments>
</file>

<file path=xl/threadedComments/threadedComment2.xml><?xml version="1.0" encoding="utf-8"?>
<ThreadedComments xmlns="http://schemas.microsoft.com/office/spreadsheetml/2018/threadedcomments" xmlns:x="http://schemas.openxmlformats.org/spreadsheetml/2006/main">
  <threadedComment ref="C13" dT="2023-08-27T08:12:38.68" personId="{C1E5923B-D6C5-488C-AB1A-8B4B6C2D0B71}" id="{C400B938-3F60-44B5-A39E-9EF0008973A1}">
    <text>Provision for Pre Payments</text>
  </threadedComment>
</ThreadedComments>
</file>

<file path=xl/threadedComments/threadedComment3.xml><?xml version="1.0" encoding="utf-8"?>
<ThreadedComments xmlns="http://schemas.microsoft.com/office/spreadsheetml/2018/threadedcomments" xmlns:x="http://schemas.openxmlformats.org/spreadsheetml/2006/main">
  <threadedComment ref="H7" dT="2023-10-24T08:25:46.17" personId="{C1E5923B-D6C5-488C-AB1A-8B4B6C2D0B71}" id="{BC04B41D-0CCB-4CF9-B5D3-9FD309D488C0}">
    <text>Leas Sheet &amp; Audit FS the Matl + employ cost is combined figure??? So required here to separate both</text>
  </threadedComment>
  <threadedComment ref="I7" dT="2024-06-10T09:35:47.68" personId="{C1E5923B-D6C5-488C-AB1A-8B4B6C2D0B71}" id="{70F4244E-BB5A-41DD-890A-691077047C94}">
    <text xml:space="preserve">This has nearly 1..25x Despite the Sales going down? How is this justified ? </text>
  </threadedComment>
  <threadedComment ref="I9" dT="2024-04-25T12:09:59.98" personId="{C1E5923B-D6C5-488C-AB1A-8B4B6C2D0B71}" id="{021C0E26-035B-498A-810B-A7F18394B103}">
    <text>ROU added with PPE</text>
  </threadedComment>
  <threadedComment ref="G11" dT="2023-10-08T05:23:30.70" personId="{C1E5923B-D6C5-488C-AB1A-8B4B6C2D0B71}" id="{461BCC44-8230-4C74-829C-C995FECBA6D6}">
    <text xml:space="preserve">Maintenance only
</text>
  </threadedComment>
  <threadedComment ref="I11" dT="2024-04-25T12:15:03.39" personId="{C1E5923B-D6C5-488C-AB1A-8B4B6C2D0B71}" id="{6ED8D566-3760-4372-B702-CEA442A332B8}">
    <text xml:space="preserve">Add Classified to Utilities &amp; Spares </text>
  </threadedComment>
  <threadedComment ref="G12" dT="2023-10-08T05:26:06.53" personId="{C1E5923B-D6C5-488C-AB1A-8B4B6C2D0B71}" id="{CBA0F76A-CDEE-4E17-87C3-42E2FD951C8B}">
    <text xml:space="preserve">Short term lease Sch 15
</text>
  </threadedComment>
  <threadedComment ref="I13" dT="2024-04-25T12:14:07.27" personId="{C1E5923B-D6C5-488C-AB1A-8B4B6C2D0B71}" id="{473819E5-D38A-4A5A-B5EC-3472FB82D04F}">
    <text xml:space="preserve"> Classified to Utilities &amp; Spares</text>
  </threadedComment>
  <threadedComment ref="I19" dT="2024-06-10T09:36:09.98" personId="{C1E5923B-D6C5-488C-AB1A-8B4B6C2D0B71}" id="{F92EA7FC-E1B0-41C7-8819-4E1D58C1530E}">
    <text xml:space="preserve">Salaries have gone up </text>
  </threadedComment>
  <threadedComment ref="G22" dT="2023-10-08T05:38:44.55" personId="{C1E5923B-D6C5-488C-AB1A-8B4B6C2D0B71}" id="{638153DB-0E24-4265-AD5C-E6AE9554BE27}">
    <text>Short term lease</text>
  </threadedComment>
  <threadedComment ref="I30" dT="2024-06-10T09:36:27.93" personId="{C1E5923B-D6C5-488C-AB1A-8B4B6C2D0B71}" id="{6B6AB7D7-76B5-4A0D-8751-4AD9BF55B743}">
    <text>Need to check in freight cost and ways and means to rationalize the optimum route system</text>
  </threadedComment>
  <threadedComment ref="C40" dT="2023-08-27T08:12:38.68" personId="{C1E5923B-D6C5-488C-AB1A-8B4B6C2D0B71}" id="{FE5BD25E-A255-44EF-85F8-E627BA94B9BF}">
    <text>Provision for Pre Payments</text>
  </threadedComment>
  <threadedComment ref="I42" dT="2024-06-10T09:36:43.62" personId="{C1E5923B-D6C5-488C-AB1A-8B4B6C2D0B71}" id="{57A43B36-0980-4395-9CB4-7C9545E62A1B}">
    <text>Why exchange loss? Are we doing wrong hedging? Treasury needs to explain</text>
  </threadedComment>
  <threadedComment ref="G43" dT="2023-10-08T05:48:50.66" personId="{C1E5923B-D6C5-488C-AB1A-8B4B6C2D0B71}" id="{08B6815C-FE75-43B6-8D5D-92E0850BA3C4}">
    <text>Insurance Surplus Received</text>
  </threadedComment>
  <threadedComment ref="H45" dT="2023-10-08T07:58:52.76" personId="{C1E5923B-D6C5-488C-AB1A-8B4B6C2D0B71}" id="{4B8B6DD9-018F-4A91-BA51-D9B0EA2A9404}">
    <text>Insurance Surplus</text>
  </threadedComment>
  <threadedComment ref="I45" dT="2024-06-10T09:36:57.78" personId="{C1E5923B-D6C5-488C-AB1A-8B4B6C2D0B71}" id="{D5077705-24F0-43D9-9685-721BE0F03F7E}">
    <text>Where has scrap sales gone ?</text>
  </threadedComment>
  <threadedComment ref="I51" dT="2024-06-10T09:37:15.54" personId="{C1E5923B-D6C5-488C-AB1A-8B4B6C2D0B71}" id="{E2C145FC-F3A3-4053-AE68-72A467C7195A}">
    <text>Need detailed update on such high cost of funds or service charges ? This needs to be controlled</text>
  </threadedComment>
  <threadedComment ref="I56" dT="2024-04-25T12:52:13.98" personId="{C1E5923B-D6C5-488C-AB1A-8B4B6C2D0B71}" id="{1D79BB7D-3E66-49D5-AEC8-3A07438C832E}">
    <text>Int on employees defined benefit liablities</text>
  </threadedComment>
  <threadedComment ref="D72" dT="2023-10-05T09:11:48.68" personId="{C1E5923B-D6C5-488C-AB1A-8B4B6C2D0B71}" id="{C1CE7F1E-5F3F-4E16-B1F2-E13624E76570}">
    <text>IFRS adj transfer of 1.35m land increase</text>
  </threadedComment>
  <threadedComment ref="D73" dT="2023-10-05T09:12:52.56" personId="{C1E5923B-D6C5-488C-AB1A-8B4B6C2D0B71}" id="{6FDC4805-9AEC-4BA5-B9AA-9F4C25702A36}">
    <text>Add of bldg asset 1.46m</text>
  </threadedComment>
  <threadedComment ref="D74" dT="2023-10-05T09:16:50.21" personId="{C1E5923B-D6C5-488C-AB1A-8B4B6C2D0B71}" id="{A3B60634-B064-4ACF-AF66-707152EF115C}">
    <text>Add 26.34m machine n plant</text>
  </threadedComment>
  <threadedComment ref="D75" dT="2023-10-05T09:17:32.01" personId="{C1E5923B-D6C5-488C-AB1A-8B4B6C2D0B71}" id="{089E1299-967D-4552-9D61-BC784DCB6CF6}">
    <text>Add 1m new</text>
  </threadedComment>
  <threadedComment ref="D76" dT="2023-10-05T09:18:18.21" personId="{C1E5923B-D6C5-488C-AB1A-8B4B6C2D0B71}" id="{31D0917F-2AF4-4FCF-9557-BD04EC94FB1B}">
    <text>Add 476k vehicle new</text>
  </threadedComment>
  <threadedComment ref="D77" dT="2023-10-05T09:19:08.33" personId="{C1E5923B-D6C5-488C-AB1A-8B4B6C2D0B71}" id="{43FBC64F-7104-4E29-802E-7E001DB98AD3}">
    <text>CIP - 10m &amp; IFRS adjustment</text>
  </threadedComment>
  <threadedComment ref="I116" dT="2024-06-10T09:37:35.11" personId="{C1E5923B-D6C5-488C-AB1A-8B4B6C2D0B71}" id="{4FAA2F57-F585-45BD-900D-D3485A19248E}">
    <text>ARC Security Deposit with Anti Competition KSA commission</text>
  </threadedComment>
  <threadedComment ref="C125" dT="2023-08-27T10:17:39.66" personId="{C1E5923B-D6C5-488C-AB1A-8B4B6C2D0B71}" id="{AE13318F-2C4E-451C-9B80-2FA667845856}">
    <text>Increase in share capital by 26.25 mill riyal</text>
  </threadedComment>
  <threadedComment ref="G149" dT="2023-10-08T06:44:02.21" personId="{C1E5923B-D6C5-488C-AB1A-8B4B6C2D0B71}" id="{6BB3D1B9-B268-49AD-96BF-5D2A2D1B9227}">
    <text xml:space="preserve">FS has diff of -5
</text>
  </threadedComment>
  <threadedComment ref="G155" dT="2023-10-08T06:33:21.72" personId="{C1E5923B-D6C5-488C-AB1A-8B4B6C2D0B71}" id="{2597F0CC-D73C-4321-83EB-F9B4392559F3}">
    <text>Others 1.1m + Vat pay 2.6m</text>
  </threadedComment>
  <threadedComment ref="H155" dT="2023-10-08T06:33:21.72" personId="{C1E5923B-D6C5-488C-AB1A-8B4B6C2D0B71}" id="{F09206FE-C344-4358-9B76-7FBBA01FA677}">
    <text>Others 3.5m + Vat pay 4.2m + Dividends 11k</text>
  </threadedComment>
  <threadedComment ref="I155" dT="2024-05-05T09:52:29.95" personId="{C1E5923B-D6C5-488C-AB1A-8B4B6C2D0B71}" id="{6E606841-8A80-4A7C-BBA2-79FCE59FACE0}">
    <text>VAT Net + Div Payable + Others</text>
  </threadedComment>
  <threadedComment ref="J155" dT="2024-06-12T07:20:37.09" personId="{C1E5923B-D6C5-488C-AB1A-8B4B6C2D0B71}" id="{B7A37DA7-7D32-486A-B7B6-BD04DBE16F6F}">
    <text>Vat payable + Proposed Dividend</text>
  </threadedComment>
</ThreadedComments>
</file>

<file path=xl/threadedComments/threadedComment4.xml><?xml version="1.0" encoding="utf-8"?>
<ThreadedComments xmlns="http://schemas.microsoft.com/office/spreadsheetml/2018/threadedcomments" xmlns:x="http://schemas.openxmlformats.org/spreadsheetml/2006/main">
  <threadedComment ref="C13" dT="2023-08-31T09:29:36.72" personId="{C1E5923B-D6C5-488C-AB1A-8B4B6C2D0B71}" id="{32944D60-6841-454C-B321-DB2A306FE6B6}">
    <text xml:space="preserve">Reversal of Depreciation Adjustment done here &amp; not separately
</text>
  </threadedComment>
</ThreadedComments>
</file>

<file path=xl/threadedComments/threadedComment5.xml><?xml version="1.0" encoding="utf-8"?>
<ThreadedComments xmlns="http://schemas.microsoft.com/office/spreadsheetml/2018/threadedcomments" xmlns:x="http://schemas.openxmlformats.org/spreadsheetml/2006/main">
  <threadedComment ref="C22" dT="2023-08-31T09:29:36.72" personId="{C1E5923B-D6C5-488C-AB1A-8B4B6C2D0B71}" id="{DF4872BD-69F9-45B3-8A0B-A4412DA81C4C}">
    <text xml:space="preserve">Reversal of Depreciation Adjustment done here &amp; not separately
</text>
  </threadedComment>
</ThreadedComments>
</file>

<file path=xl/threadedComments/threadedComment6.xml><?xml version="1.0" encoding="utf-8"?>
<ThreadedComments xmlns="http://schemas.microsoft.com/office/spreadsheetml/2018/threadedcomments" xmlns:x="http://schemas.openxmlformats.org/spreadsheetml/2006/main">
  <threadedComment ref="C16" dT="2023-08-31T09:29:36.72" personId="{C1E5923B-D6C5-488C-AB1A-8B4B6C2D0B71}" id="{878744EB-CA9A-40B4-8F0C-28CB62D27C87}">
    <text xml:space="preserve">Reversal of Depreciation Adjustment done here &amp; not separately
</text>
  </threadedComment>
</ThreadedComments>
</file>

<file path=xl/threadedComments/threadedComment7.xml><?xml version="1.0" encoding="utf-8"?>
<ThreadedComments xmlns="http://schemas.microsoft.com/office/spreadsheetml/2018/threadedcomments" xmlns:x="http://schemas.openxmlformats.org/spreadsheetml/2006/main">
  <threadedComment ref="B27" dT="2023-09-21T13:03:46.38" personId="{C1E5923B-D6C5-488C-AB1A-8B4B6C2D0B71}" id="{E76B93BF-9A99-4633-90D5-470BFAB3ADCD}">
    <text>Check Page 115. KSA ERP Edition 2023</text>
  </threadedComment>
</ThreadedComments>
</file>

<file path=xl/threadedComments/threadedComment8.xml><?xml version="1.0" encoding="utf-8"?>
<ThreadedComments xmlns="http://schemas.microsoft.com/office/spreadsheetml/2018/threadedcomments" xmlns:x="http://schemas.openxmlformats.org/spreadsheetml/2006/main">
  <threadedComment ref="J46" dT="2023-08-29T08:23:29.29" personId="{C1E5923B-D6C5-488C-AB1A-8B4B6C2D0B71}" id="{B62CD93E-1F4C-47E4-8935-3359D171ECF1}">
    <text>Add the Dividends Payable 11k</text>
  </threadedComment>
</ThreadedComments>
</file>

<file path=xl/threadedComments/threadedComment9.xml><?xml version="1.0" encoding="utf-8"?>
<ThreadedComments xmlns="http://schemas.microsoft.com/office/spreadsheetml/2018/threadedcomments" xmlns:x="http://schemas.openxmlformats.org/spreadsheetml/2006/main">
  <threadedComment ref="F124" dT="2024-10-14T08:21:04.50" personId="{C1E5923B-D6C5-488C-AB1A-8B4B6C2D0B71}" id="{195030CA-764C-4B06-95C9-7551C349A990}">
    <text>Tawarruq ANB LTL</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5"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 Id="rId5" Type="http://schemas.microsoft.com/office/2017/10/relationships/threadedComment" Target="../threadedComments/threadedComment2.xml"/></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4.bin"/><Relationship Id="rId5" Type="http://schemas.microsoft.com/office/2017/10/relationships/threadedComment" Target="../threadedComments/threadedComment3.xml"/></Relationships>
</file>

<file path=xl/worksheets/_rels/sheet5.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5.bin"/><Relationship Id="rId5" Type="http://schemas.microsoft.com/office/2017/10/relationships/threadedComment" Target="../threadedComments/threadedComment4.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 Id="rId4" Type="http://schemas.microsoft.com/office/2017/10/relationships/threadedComment" Target="../threadedComments/threadedComment5.xml"/></Relationships>
</file>

<file path=xl/worksheets/_rels/sheet8.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 Id="rId4" Type="http://schemas.microsoft.com/office/2017/10/relationships/threadedComment" Target="../threadedComments/threadedComment6.xml"/></Relationships>
</file>

<file path=xl/worksheets/_rels/sheet9.xml.rels><?xml version="1.0" encoding="UTF-8" standalone="yes"?>
<Relationships xmlns="http://schemas.openxmlformats.org/package/2006/relationships"><Relationship Id="rId8" Type="http://schemas.microsoft.com/office/2017/10/relationships/threadedComment" Target="../threadedComments/threadedComment7.xml"/><Relationship Id="rId3" Type="http://schemas.openxmlformats.org/officeDocument/2006/relationships/hyperlink" Target="https://ssrn.com/abstract=4509578" TargetMode="External"/><Relationship Id="rId2" Type="http://schemas.openxmlformats.org/officeDocument/2006/relationships/hyperlink" Target="https://www.saudiexchange.sa/wps/portal/saudiexchange/ourmarkets/sukuk-market-watch" TargetMode="External"/><Relationship Id="rId1" Type="http://schemas.openxmlformats.org/officeDocument/2006/relationships/hyperlink" Target="https://finance.yahoo.com/quote/1202.SR?p=1202.SR" TargetMode="External"/><Relationship Id="rId6" Type="http://schemas.openxmlformats.org/officeDocument/2006/relationships/comments" Target="../comments7.xml"/><Relationship Id="rId5" Type="http://schemas.openxmlformats.org/officeDocument/2006/relationships/vmlDrawing" Target="../drawings/vmlDrawing7.vml"/><Relationship Id="rId4"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10.bin"/><Relationship Id="rId5" Type="http://schemas.microsoft.com/office/2017/10/relationships/threadedComment" Target="../threadedComments/threadedComment8.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1.bin"/></Relationships>
</file>

<file path=xl/worksheets/_rels/sheet15.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12.bin"/><Relationship Id="rId5" Type="http://schemas.microsoft.com/office/2017/10/relationships/threadedComment" Target="../threadedComments/threadedComment9.xml"/></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M41"/>
  <sheetViews>
    <sheetView showGridLines="0" tabSelected="1" topLeftCell="A16" zoomScaleNormal="100" workbookViewId="0"/>
  </sheetViews>
  <sheetFormatPr defaultRowHeight="15.75" x14ac:dyDescent="0.25"/>
  <cols>
    <col min="1" max="1" width="3.140625" customWidth="1"/>
    <col min="3" max="3" width="3.5703125" customWidth="1"/>
    <col min="7" max="7" width="19.7109375" customWidth="1"/>
    <col min="12" max="12" width="13.28515625" customWidth="1"/>
  </cols>
  <sheetData>
    <row r="1" spans="2:12" x14ac:dyDescent="0.25">
      <c r="B1" s="4"/>
      <c r="C1" s="763"/>
      <c r="D1" s="763"/>
      <c r="E1" s="763"/>
      <c r="F1" s="763"/>
      <c r="G1" s="763"/>
      <c r="H1" s="763"/>
      <c r="I1" s="763"/>
      <c r="J1" s="763"/>
      <c r="K1" s="763"/>
      <c r="L1" s="5"/>
    </row>
    <row r="2" spans="2:12" x14ac:dyDescent="0.25">
      <c r="B2" s="6"/>
      <c r="C2" s="764"/>
      <c r="D2" s="764"/>
      <c r="E2" s="764"/>
      <c r="F2" s="764"/>
      <c r="G2" s="764"/>
      <c r="H2" s="764"/>
      <c r="I2" s="764"/>
      <c r="J2" s="764"/>
      <c r="K2" s="764"/>
      <c r="L2" s="7"/>
    </row>
    <row r="3" spans="2:12" x14ac:dyDescent="0.25">
      <c r="B3" s="6"/>
      <c r="C3" s="764"/>
      <c r="D3" s="764"/>
      <c r="E3" s="764"/>
      <c r="F3" s="764"/>
      <c r="G3" s="764"/>
      <c r="H3" s="764"/>
      <c r="I3" s="764"/>
      <c r="J3" s="764"/>
      <c r="K3" s="764"/>
      <c r="L3" s="7"/>
    </row>
    <row r="4" spans="2:12" ht="35.25" x14ac:dyDescent="0.25">
      <c r="B4" s="6"/>
      <c r="C4" s="764" t="s">
        <v>686</v>
      </c>
      <c r="D4" s="764"/>
      <c r="E4" s="764"/>
      <c r="F4" s="764"/>
      <c r="G4" s="764"/>
      <c r="H4" s="764"/>
      <c r="I4" s="764"/>
      <c r="J4" s="764"/>
      <c r="K4" s="764"/>
      <c r="L4" s="7"/>
    </row>
    <row r="5" spans="2:12" ht="16.5" customHeight="1" x14ac:dyDescent="0.25">
      <c r="B5" s="6"/>
      <c r="C5" s="138"/>
      <c r="D5" s="138"/>
      <c r="E5" s="138"/>
      <c r="F5" s="138"/>
      <c r="G5" s="138"/>
      <c r="H5" s="138"/>
      <c r="I5" s="138"/>
      <c r="J5" s="138"/>
      <c r="K5" s="138"/>
      <c r="L5" s="7"/>
    </row>
    <row r="6" spans="2:12" ht="18" x14ac:dyDescent="0.25">
      <c r="B6" s="6"/>
      <c r="C6" s="139"/>
      <c r="D6" s="766" t="s">
        <v>687</v>
      </c>
      <c r="E6" s="767"/>
      <c r="F6" s="767"/>
      <c r="G6" s="767"/>
      <c r="H6" s="767"/>
      <c r="I6" s="767"/>
      <c r="J6" s="768"/>
      <c r="K6" s="139"/>
      <c r="L6" s="7"/>
    </row>
    <row r="7" spans="2:12" x14ac:dyDescent="0.25">
      <c r="B7" s="6"/>
      <c r="C7" s="139"/>
      <c r="D7" s="765" t="s">
        <v>37</v>
      </c>
      <c r="E7" s="765"/>
      <c r="F7" s="765"/>
      <c r="G7" s="765"/>
      <c r="H7" s="765"/>
      <c r="I7" s="765"/>
      <c r="J7" s="765"/>
      <c r="K7" s="139"/>
      <c r="L7" s="7"/>
    </row>
    <row r="8" spans="2:12" x14ac:dyDescent="0.25">
      <c r="B8" s="6"/>
      <c r="C8" s="139"/>
      <c r="D8" s="765"/>
      <c r="E8" s="765"/>
      <c r="F8" s="765"/>
      <c r="G8" s="765"/>
      <c r="H8" s="765"/>
      <c r="I8" s="765"/>
      <c r="J8" s="765"/>
      <c r="K8" s="139"/>
      <c r="L8" s="7"/>
    </row>
    <row r="9" spans="2:12" x14ac:dyDescent="0.25">
      <c r="B9" s="6"/>
      <c r="C9" s="139"/>
      <c r="D9" s="765"/>
      <c r="E9" s="765"/>
      <c r="F9" s="765"/>
      <c r="G9" s="765"/>
      <c r="H9" s="765"/>
      <c r="I9" s="765"/>
      <c r="J9" s="765"/>
      <c r="K9" s="139"/>
      <c r="L9" s="7"/>
    </row>
    <row r="10" spans="2:12" ht="27" x14ac:dyDescent="0.35">
      <c r="B10" s="6"/>
      <c r="C10" s="139"/>
      <c r="D10" s="141" t="s">
        <v>152</v>
      </c>
      <c r="E10" s="140"/>
      <c r="F10" s="140"/>
      <c r="G10" s="140"/>
      <c r="H10" s="140"/>
      <c r="I10" s="140"/>
      <c r="J10" s="140"/>
      <c r="K10" s="139"/>
      <c r="L10" s="7"/>
    </row>
    <row r="11" spans="2:12" x14ac:dyDescent="0.25">
      <c r="B11" s="6"/>
      <c r="C11" s="139"/>
      <c r="D11" s="139"/>
      <c r="E11" s="139"/>
      <c r="F11" s="139"/>
      <c r="G11" s="139"/>
      <c r="H11" s="139"/>
      <c r="I11" s="139"/>
      <c r="J11" s="139"/>
      <c r="K11" s="139"/>
      <c r="L11" s="7"/>
    </row>
    <row r="12" spans="2:12" ht="18.75" x14ac:dyDescent="0.3">
      <c r="B12" s="6"/>
      <c r="C12" s="139"/>
      <c r="D12" s="142" t="s">
        <v>38</v>
      </c>
      <c r="E12" s="143"/>
      <c r="F12" s="143"/>
      <c r="G12" s="143"/>
      <c r="H12" s="143"/>
      <c r="I12" s="360" t="s">
        <v>404</v>
      </c>
      <c r="J12" s="139"/>
      <c r="K12" s="139"/>
      <c r="L12" s="7"/>
    </row>
    <row r="13" spans="2:12" ht="18.75" x14ac:dyDescent="0.3">
      <c r="B13" s="6"/>
      <c r="C13" s="139"/>
      <c r="D13" s="142"/>
      <c r="E13" s="142"/>
      <c r="F13" s="142"/>
      <c r="G13" s="142"/>
      <c r="H13" s="142"/>
      <c r="I13" s="139"/>
      <c r="J13" s="139"/>
      <c r="K13" s="139"/>
      <c r="L13" s="7"/>
    </row>
    <row r="14" spans="2:12" ht="18.75" x14ac:dyDescent="0.3">
      <c r="B14" s="6"/>
      <c r="C14" s="139"/>
      <c r="D14" s="142" t="s">
        <v>225</v>
      </c>
      <c r="E14" s="143"/>
      <c r="F14" s="143"/>
      <c r="G14" s="143"/>
      <c r="H14" s="143"/>
      <c r="I14" s="360" t="s">
        <v>404</v>
      </c>
      <c r="J14" s="139"/>
      <c r="K14" s="139"/>
      <c r="L14" s="7"/>
    </row>
    <row r="15" spans="2:12" ht="18.75" x14ac:dyDescent="0.3">
      <c r="B15" s="6"/>
      <c r="C15" s="139"/>
      <c r="D15" s="142"/>
      <c r="E15" s="142"/>
      <c r="F15" s="142"/>
      <c r="G15" s="142"/>
      <c r="H15" s="142"/>
      <c r="I15" s="139"/>
      <c r="J15" s="139"/>
      <c r="K15" s="139"/>
      <c r="L15" s="7"/>
    </row>
    <row r="16" spans="2:12" ht="18.75" x14ac:dyDescent="0.3">
      <c r="B16" s="6"/>
      <c r="C16" s="139"/>
      <c r="D16" s="142" t="s">
        <v>476</v>
      </c>
      <c r="E16" s="468"/>
      <c r="F16" s="468"/>
      <c r="G16" s="468"/>
      <c r="H16" s="142"/>
      <c r="I16" s="360" t="s">
        <v>404</v>
      </c>
      <c r="J16" s="139"/>
      <c r="K16" s="139"/>
      <c r="L16" s="7"/>
    </row>
    <row r="17" spans="2:12" ht="18.75" x14ac:dyDescent="0.3">
      <c r="B17" s="6"/>
      <c r="C17" s="139"/>
      <c r="D17" s="142"/>
      <c r="E17" s="142"/>
      <c r="F17" s="142"/>
      <c r="G17" s="142"/>
      <c r="H17" s="142"/>
      <c r="I17" s="139"/>
      <c r="J17" s="139"/>
      <c r="K17" s="139"/>
      <c r="L17" s="7"/>
    </row>
    <row r="18" spans="2:12" ht="18.75" x14ac:dyDescent="0.3">
      <c r="B18" s="6"/>
      <c r="C18" s="139"/>
      <c r="D18" s="142" t="s">
        <v>477</v>
      </c>
      <c r="E18" s="143"/>
      <c r="F18" s="143"/>
      <c r="G18" s="143"/>
      <c r="H18" s="137"/>
      <c r="I18" s="360" t="s">
        <v>404</v>
      </c>
      <c r="J18" s="139"/>
      <c r="K18" s="139"/>
      <c r="L18" s="7"/>
    </row>
    <row r="19" spans="2:12" ht="18.75" x14ac:dyDescent="0.3">
      <c r="B19" s="6"/>
      <c r="C19" s="139"/>
      <c r="D19" s="142"/>
      <c r="E19" s="142"/>
      <c r="F19" s="142"/>
      <c r="G19" s="142"/>
      <c r="H19" s="142"/>
      <c r="I19" s="139"/>
      <c r="J19" s="139"/>
      <c r="K19" s="139"/>
      <c r="L19" s="7"/>
    </row>
    <row r="20" spans="2:12" ht="18.75" x14ac:dyDescent="0.3">
      <c r="B20" s="6"/>
      <c r="C20" s="139"/>
      <c r="D20" s="142" t="s">
        <v>478</v>
      </c>
      <c r="E20" s="698"/>
      <c r="F20" s="698"/>
      <c r="G20" s="698"/>
      <c r="H20" s="698"/>
      <c r="I20" s="360" t="s">
        <v>404</v>
      </c>
      <c r="J20" s="139"/>
      <c r="K20" s="139"/>
      <c r="L20" s="7"/>
    </row>
    <row r="21" spans="2:12" ht="18.75" x14ac:dyDescent="0.3">
      <c r="B21" s="6"/>
      <c r="C21" s="139"/>
      <c r="D21" s="142"/>
      <c r="E21" s="142"/>
      <c r="F21" s="142"/>
      <c r="G21" s="142"/>
      <c r="H21" s="142"/>
      <c r="I21" s="139"/>
      <c r="J21" s="139"/>
      <c r="K21" s="139"/>
      <c r="L21" s="7"/>
    </row>
    <row r="22" spans="2:12" ht="18.75" x14ac:dyDescent="0.3">
      <c r="B22" s="6"/>
      <c r="C22" s="139"/>
      <c r="D22" s="142" t="s">
        <v>479</v>
      </c>
      <c r="E22" s="143"/>
      <c r="F22" s="143"/>
      <c r="G22" s="143"/>
      <c r="H22" s="143"/>
      <c r="I22" s="360" t="s">
        <v>404</v>
      </c>
      <c r="J22" s="139"/>
      <c r="K22" s="139"/>
      <c r="L22" s="7"/>
    </row>
    <row r="23" spans="2:12" ht="18.75" x14ac:dyDescent="0.3">
      <c r="B23" s="6"/>
      <c r="C23" s="139"/>
      <c r="D23" s="142"/>
      <c r="E23" s="142"/>
      <c r="F23" s="142"/>
      <c r="G23" s="142"/>
      <c r="H23" s="142"/>
      <c r="I23" s="139"/>
      <c r="J23" s="139"/>
      <c r="K23" s="139"/>
      <c r="L23" s="7"/>
    </row>
    <row r="24" spans="2:12" ht="18.75" x14ac:dyDescent="0.3">
      <c r="B24" s="6"/>
      <c r="C24" s="139"/>
      <c r="D24" s="142" t="s">
        <v>480</v>
      </c>
      <c r="E24" s="143"/>
      <c r="F24" s="143"/>
      <c r="G24" s="143"/>
      <c r="H24" s="143"/>
      <c r="I24" s="360" t="s">
        <v>404</v>
      </c>
      <c r="J24" s="139"/>
      <c r="K24" s="139"/>
      <c r="L24" s="7"/>
    </row>
    <row r="25" spans="2:12" ht="18.75" x14ac:dyDescent="0.3">
      <c r="B25" s="6"/>
      <c r="C25" s="139"/>
      <c r="D25" s="142"/>
      <c r="E25" s="142"/>
      <c r="F25" s="142"/>
      <c r="G25" s="142"/>
      <c r="H25" s="142"/>
      <c r="I25" s="139"/>
      <c r="J25" s="139"/>
      <c r="K25" s="139"/>
      <c r="L25" s="7"/>
    </row>
    <row r="26" spans="2:12" ht="18.75" x14ac:dyDescent="0.3">
      <c r="B26" s="6"/>
      <c r="C26" s="139"/>
      <c r="D26" s="142" t="s">
        <v>481</v>
      </c>
      <c r="E26" s="143"/>
      <c r="F26" s="143"/>
      <c r="G26" s="143"/>
      <c r="H26" s="143"/>
      <c r="I26" s="144" t="s">
        <v>405</v>
      </c>
      <c r="J26" s="139"/>
      <c r="K26" s="139"/>
      <c r="L26" s="7"/>
    </row>
    <row r="27" spans="2:12" ht="18.75" x14ac:dyDescent="0.3">
      <c r="B27" s="6"/>
      <c r="C27" s="139"/>
      <c r="D27" s="142"/>
      <c r="E27" s="142"/>
      <c r="F27" s="142"/>
      <c r="G27" s="142"/>
      <c r="H27" s="142"/>
      <c r="I27" s="139"/>
      <c r="J27" s="139"/>
      <c r="K27" s="139"/>
      <c r="L27" s="7"/>
    </row>
    <row r="28" spans="2:12" ht="18.75" x14ac:dyDescent="0.3">
      <c r="B28" s="6"/>
      <c r="C28" s="139"/>
      <c r="D28" s="142" t="s">
        <v>482</v>
      </c>
      <c r="E28" s="698"/>
      <c r="F28" s="698"/>
      <c r="G28" s="698"/>
      <c r="H28" s="698"/>
      <c r="I28" s="360" t="s">
        <v>404</v>
      </c>
      <c r="J28" s="139"/>
      <c r="K28" s="139"/>
      <c r="L28" s="7"/>
    </row>
    <row r="29" spans="2:12" ht="18.75" x14ac:dyDescent="0.3">
      <c r="B29" s="6"/>
      <c r="C29" s="139"/>
      <c r="D29" s="142"/>
      <c r="E29" s="142"/>
      <c r="F29" s="142"/>
      <c r="G29" s="142"/>
      <c r="H29" s="142"/>
      <c r="I29" s="139"/>
      <c r="J29" s="139"/>
      <c r="K29" s="139"/>
      <c r="L29" s="7"/>
    </row>
    <row r="30" spans="2:12" ht="18.75" x14ac:dyDescent="0.3">
      <c r="B30" s="6"/>
      <c r="C30" s="139"/>
      <c r="D30" s="142" t="s">
        <v>483</v>
      </c>
      <c r="E30" s="143"/>
      <c r="F30" s="143"/>
      <c r="G30" s="143"/>
      <c r="H30" s="143"/>
      <c r="I30" s="360" t="s">
        <v>404</v>
      </c>
      <c r="J30" s="139"/>
      <c r="K30" s="139"/>
      <c r="L30" s="7"/>
    </row>
    <row r="31" spans="2:12" ht="18.75" x14ac:dyDescent="0.3">
      <c r="B31" s="6"/>
      <c r="C31" s="139"/>
      <c r="D31" s="142"/>
      <c r="E31" s="142"/>
      <c r="F31" s="142"/>
      <c r="G31" s="142"/>
      <c r="H31" s="142"/>
      <c r="I31" s="144"/>
      <c r="J31" s="139"/>
      <c r="K31" s="139"/>
      <c r="L31" s="7"/>
    </row>
    <row r="32" spans="2:12" ht="18.75" x14ac:dyDescent="0.3">
      <c r="B32" s="6"/>
      <c r="C32" s="139"/>
      <c r="D32" s="142" t="s">
        <v>484</v>
      </c>
      <c r="E32" s="143"/>
      <c r="F32" s="143"/>
      <c r="G32" s="143"/>
      <c r="H32" s="143"/>
      <c r="I32" s="360" t="s">
        <v>404</v>
      </c>
      <c r="J32" s="139"/>
      <c r="K32" s="139"/>
      <c r="L32" s="7"/>
    </row>
    <row r="33" spans="2:13" ht="18.75" x14ac:dyDescent="0.3">
      <c r="B33" s="6"/>
      <c r="C33" s="139"/>
      <c r="D33" s="142"/>
      <c r="E33" s="142"/>
      <c r="F33" s="142"/>
      <c r="G33" s="142"/>
      <c r="H33" s="142"/>
      <c r="I33" s="139"/>
      <c r="J33" s="139"/>
      <c r="K33" s="139"/>
      <c r="L33" s="7"/>
    </row>
    <row r="34" spans="2:13" ht="18.75" x14ac:dyDescent="0.3">
      <c r="B34" s="6"/>
      <c r="C34" s="139"/>
      <c r="D34" s="142" t="s">
        <v>763</v>
      </c>
      <c r="E34" s="468"/>
      <c r="F34" s="468"/>
      <c r="G34" s="468"/>
      <c r="H34" s="468"/>
      <c r="I34" s="360" t="s">
        <v>404</v>
      </c>
      <c r="J34" s="139"/>
      <c r="K34" s="139"/>
      <c r="L34" s="7"/>
      <c r="M34" s="30"/>
    </row>
    <row r="35" spans="2:13" ht="18.75" x14ac:dyDescent="0.3">
      <c r="B35" s="6"/>
      <c r="C35" s="139"/>
      <c r="D35" s="142"/>
      <c r="E35" s="142"/>
      <c r="F35" s="142"/>
      <c r="G35" s="142"/>
      <c r="H35" s="142"/>
      <c r="I35" s="144"/>
      <c r="J35" s="139"/>
      <c r="K35" s="139"/>
      <c r="L35" s="7"/>
    </row>
    <row r="36" spans="2:13" ht="18.75" x14ac:dyDescent="0.3">
      <c r="B36" s="6"/>
      <c r="C36" s="139"/>
      <c r="D36" s="142" t="s">
        <v>764</v>
      </c>
      <c r="E36" s="468"/>
      <c r="F36" s="468"/>
      <c r="G36" s="468"/>
      <c r="H36" s="468"/>
      <c r="I36" s="360" t="s">
        <v>404</v>
      </c>
      <c r="J36" s="139"/>
      <c r="K36" s="139"/>
      <c r="L36" s="7"/>
    </row>
    <row r="37" spans="2:13" ht="18.75" x14ac:dyDescent="0.3">
      <c r="B37" s="6"/>
      <c r="C37" s="139"/>
      <c r="D37" s="142"/>
      <c r="E37" s="142"/>
      <c r="F37" s="142"/>
      <c r="G37" s="142"/>
      <c r="H37" s="142"/>
      <c r="I37" s="144"/>
      <c r="J37" s="139"/>
      <c r="K37" s="139"/>
      <c r="L37" s="7"/>
    </row>
    <row r="38" spans="2:13" ht="20.25" x14ac:dyDescent="0.3">
      <c r="B38" s="6"/>
      <c r="C38" s="139"/>
      <c r="D38" s="142" t="s">
        <v>485</v>
      </c>
      <c r="E38" s="143"/>
      <c r="F38" s="143"/>
      <c r="G38" s="143"/>
      <c r="H38" s="143"/>
      <c r="I38" s="144" t="s">
        <v>567</v>
      </c>
      <c r="J38" s="139"/>
      <c r="K38" s="139"/>
      <c r="L38" s="7"/>
      <c r="M38" s="43"/>
    </row>
    <row r="39" spans="2:13" ht="18.75" x14ac:dyDescent="0.3">
      <c r="B39" s="6"/>
      <c r="C39" s="139"/>
      <c r="D39" s="142"/>
      <c r="E39" s="142"/>
      <c r="F39" s="142"/>
      <c r="G39" s="142"/>
      <c r="H39" s="142"/>
      <c r="I39" s="139"/>
      <c r="J39" s="139"/>
      <c r="K39" s="139"/>
      <c r="L39" s="7"/>
    </row>
    <row r="40" spans="2:13" ht="18.75" x14ac:dyDescent="0.3">
      <c r="B40" s="6"/>
      <c r="C40" s="139"/>
      <c r="D40" s="142" t="s">
        <v>486</v>
      </c>
      <c r="E40" s="143"/>
      <c r="F40" s="143"/>
      <c r="G40" s="143"/>
      <c r="H40" s="143"/>
      <c r="I40" s="144" t="s">
        <v>567</v>
      </c>
      <c r="J40" s="139"/>
      <c r="K40" s="139"/>
      <c r="L40" s="7"/>
    </row>
    <row r="41" spans="2:13" ht="16.5" thickBot="1" x14ac:dyDescent="0.3">
      <c r="B41" s="8"/>
      <c r="C41" s="9"/>
      <c r="D41" s="9"/>
      <c r="E41" s="9"/>
      <c r="F41" s="9"/>
      <c r="G41" s="9"/>
      <c r="H41" s="9"/>
      <c r="I41" s="9"/>
      <c r="J41" s="9"/>
      <c r="K41" s="9"/>
      <c r="L41" s="10"/>
    </row>
  </sheetData>
  <mergeCells count="4">
    <mergeCell ref="C1:K3"/>
    <mergeCell ref="D7:J9"/>
    <mergeCell ref="D6:J6"/>
    <mergeCell ref="C4:K4"/>
  </mergeCells>
  <hyperlinks>
    <hyperlink ref="D14:H14" location="EBITDA!A1" display="2.EBITDA" xr:uid="{D8C5080F-D436-4F61-8D87-5F4D351E1D26}"/>
    <hyperlink ref="D18:H18" location="'Imp Note'!A1" display="3.Important Note" xr:uid="{40BD7253-792A-45D8-8F80-D443077EC663}"/>
    <hyperlink ref="D24:H24" location="'FCFE (Levered)'!A1" display="6.Free Cash Flow to Equity (FCFE)" xr:uid="{DB786AA7-43AC-4713-A49D-E776F141F6C9}"/>
    <hyperlink ref="D26:H26" location="WACC!A1" display="7.WACC / Terminal Value / Enterprise Value " xr:uid="{BBD12B9B-B76C-434C-A571-78A6C348D3D4}"/>
    <hyperlink ref="D28:H28" location="'WARAQ Ratios '!A1" display="9.Financial Ratios" xr:uid="{5ECBAB8B-CD43-4E50-B459-0507721B278F}"/>
    <hyperlink ref="D30:H30" location="Dashboard!A1" display="9.Dashboard" xr:uid="{3A7C9FD6-CD8C-4914-B152-C4A0D70691AE}"/>
    <hyperlink ref="D32:H32" location="Resource!A1" display="10.Resource" xr:uid="{A508ED6A-A863-4334-9E9B-E5F70CF0447C}"/>
    <hyperlink ref="D40:H40" location="Projections!A1" display="14.Projections" xr:uid="{94503696-FE6D-4CEE-93D5-B16A63CCE76A}"/>
    <hyperlink ref="D24" location="'FCFE (Levered)'!A1" display="6.Free Cash Flow to Equity (FCFE)" xr:uid="{7D873754-EDA5-4C2C-AE1E-FF1604D8AEDB}"/>
    <hyperlink ref="D22:H22" location="'FCFF (Unlevered)'!A1" display="5.Free Cash Flow to Firm (FCFF) (Unlevered)" xr:uid="{4B19262C-7C68-4AED-B162-EACEAA3E1866}"/>
    <hyperlink ref="D12:H12" location="'WARAQ - FS '!A1" display="1.Financial Statements" xr:uid="{084D9781-4955-439E-8FB0-4AAC050C2DD9}"/>
    <hyperlink ref="D16:G16" location="'FS with Schedules'!A1" display="3.FS with Footnotes adjusted (Detailed)" xr:uid="{DD6DC5E3-C683-45C9-8139-4155FB5DE2A4}"/>
    <hyperlink ref="D38:H38" location="'Flash Report CFO Dashboard'!A1" display="13.Flash Report (2 weekly)" xr:uid="{E0315BCE-79EC-49AC-BB31-D0158B49AB0A}"/>
    <hyperlink ref="D34:H34" location="'Funds Flow - 23 Vs 24'!A1" display="12.Funds Flow Statement (WC 23 Vs 24)" xr:uid="{54D9372F-9A62-40F0-A555-4139DE70F0D5}"/>
    <hyperlink ref="D20:H20" location="'WARAQ - CFS'!A1" display="5.Cash Flow Analysis (CFS)" xr:uid="{B530E0B4-5A25-4DF0-93F6-250AE3566935}"/>
    <hyperlink ref="D36:H36" location="'FFS 2024'!A1" display="13. Funds Flow Analysis (2024 - 6 months)" xr:uid="{17E023FA-EF35-4865-90DA-39DA4D6D0472}"/>
  </hyperlinks>
  <pageMargins left="0.46" right="0.25"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B1:K72"/>
  <sheetViews>
    <sheetView showGridLines="0" zoomScaleNormal="100" workbookViewId="0">
      <pane xSplit="2" ySplit="7" topLeftCell="C8" activePane="bottomRight" state="frozen"/>
      <selection activeCell="C18" sqref="C18"/>
      <selection pane="topRight" activeCell="C18" sqref="C18"/>
      <selection pane="bottomLeft" activeCell="C18" sqref="C18"/>
      <selection pane="bottomRight" activeCell="C33" sqref="C33"/>
    </sheetView>
  </sheetViews>
  <sheetFormatPr defaultColWidth="9.140625" defaultRowHeight="15.75" x14ac:dyDescent="0.25"/>
  <cols>
    <col min="1" max="1" width="2.5703125" style="42" customWidth="1"/>
    <col min="2" max="2" width="46.42578125" style="42" customWidth="1"/>
    <col min="3" max="4" width="17.7109375" style="42" customWidth="1"/>
    <col min="5" max="5" width="19.42578125" style="42" customWidth="1"/>
    <col min="6" max="7" width="17.42578125" style="42" customWidth="1"/>
    <col min="8" max="8" width="21.42578125" style="42" customWidth="1"/>
    <col min="9" max="10" width="17.7109375" style="42" customWidth="1"/>
    <col min="11" max="11" width="12.42578125" style="42" bestFit="1" customWidth="1"/>
    <col min="12" max="16384" width="9.140625" style="42"/>
  </cols>
  <sheetData>
    <row r="1" spans="2:10" ht="16.5" thickBot="1" x14ac:dyDescent="0.3">
      <c r="B1" s="156" t="s">
        <v>248</v>
      </c>
    </row>
    <row r="2" spans="2:10" x14ac:dyDescent="0.25">
      <c r="J2" s="564"/>
    </row>
    <row r="3" spans="2:10" x14ac:dyDescent="0.25">
      <c r="B3" s="50" t="s">
        <v>12</v>
      </c>
      <c r="C3" s="157" t="str">
        <f>IF(ABS(C44-C66)&gt;1,"Error", "OK")</f>
        <v>OK</v>
      </c>
      <c r="D3" s="158" t="str">
        <f t="shared" ref="D3:I3" si="0">IF(ABS(D44-D66)&gt;1,"Error", "OK")</f>
        <v>OK</v>
      </c>
      <c r="E3" s="158" t="str">
        <f t="shared" si="0"/>
        <v>OK</v>
      </c>
      <c r="F3" s="158" t="str">
        <f t="shared" si="0"/>
        <v>OK</v>
      </c>
      <c r="G3" s="158" t="str">
        <f t="shared" si="0"/>
        <v>OK</v>
      </c>
      <c r="H3" s="159" t="str">
        <f t="shared" si="0"/>
        <v>OK</v>
      </c>
      <c r="I3" s="159" t="str">
        <f t="shared" si="0"/>
        <v>OK</v>
      </c>
      <c r="J3" s="159" t="str">
        <f>IF(ABS(J44-J66)&gt;1,"Error", "OK")</f>
        <v>OK</v>
      </c>
    </row>
    <row r="4" spans="2:10" ht="1.9" customHeight="1" x14ac:dyDescent="0.25"/>
    <row r="5" spans="2:10" x14ac:dyDescent="0.25">
      <c r="B5" s="160" t="s">
        <v>4</v>
      </c>
      <c r="C5" s="161" t="s">
        <v>105</v>
      </c>
      <c r="D5" s="162"/>
      <c r="E5" s="162"/>
      <c r="F5" s="162"/>
      <c r="G5" s="162"/>
      <c r="H5" s="162"/>
      <c r="I5" s="163"/>
      <c r="J5" s="163" t="s">
        <v>680</v>
      </c>
    </row>
    <row r="6" spans="2:10" ht="3" customHeight="1" x14ac:dyDescent="0.25"/>
    <row r="7" spans="2:10" x14ac:dyDescent="0.25">
      <c r="B7" s="164" t="s">
        <v>39</v>
      </c>
      <c r="C7" s="165">
        <v>2017</v>
      </c>
      <c r="D7" s="165">
        <f t="shared" ref="D7:J7" si="1">C7+1</f>
        <v>2018</v>
      </c>
      <c r="E7" s="165">
        <f t="shared" si="1"/>
        <v>2019</v>
      </c>
      <c r="F7" s="165">
        <f t="shared" si="1"/>
        <v>2020</v>
      </c>
      <c r="G7" s="165">
        <f t="shared" si="1"/>
        <v>2021</v>
      </c>
      <c r="H7" s="166">
        <f t="shared" si="1"/>
        <v>2022</v>
      </c>
      <c r="I7" s="166">
        <f t="shared" si="1"/>
        <v>2023</v>
      </c>
      <c r="J7" s="166">
        <f t="shared" si="1"/>
        <v>2024</v>
      </c>
    </row>
    <row r="8" spans="2:10" x14ac:dyDescent="0.25">
      <c r="B8" s="167" t="s">
        <v>0</v>
      </c>
      <c r="C8" s="98">
        <v>618298747</v>
      </c>
      <c r="D8" s="99">
        <v>764562777</v>
      </c>
      <c r="E8" s="99">
        <v>646481189</v>
      </c>
      <c r="F8" s="99">
        <v>563272730</v>
      </c>
      <c r="G8" s="99">
        <v>791000421</v>
      </c>
      <c r="H8" s="98">
        <v>982392366</v>
      </c>
      <c r="I8" s="98">
        <v>657861400</v>
      </c>
      <c r="J8" s="98">
        <v>331615280</v>
      </c>
    </row>
    <row r="9" spans="2:10" x14ac:dyDescent="0.25">
      <c r="B9" s="167" t="s">
        <v>40</v>
      </c>
      <c r="C9" s="100">
        <v>-591964630</v>
      </c>
      <c r="D9" s="100">
        <v>-598777348</v>
      </c>
      <c r="E9" s="100">
        <v>-549474068</v>
      </c>
      <c r="F9" s="100">
        <v>-509029689</v>
      </c>
      <c r="G9" s="100">
        <v>-597406509</v>
      </c>
      <c r="H9" s="100">
        <v>-634195731</v>
      </c>
      <c r="I9" s="100">
        <v>-613777216</v>
      </c>
      <c r="J9" s="100">
        <v>-297601757</v>
      </c>
    </row>
    <row r="10" spans="2:10" x14ac:dyDescent="0.25">
      <c r="B10" s="168" t="s">
        <v>1</v>
      </c>
      <c r="C10" s="95">
        <f t="shared" ref="C10:I10" si="2">C8+C9</f>
        <v>26334117</v>
      </c>
      <c r="D10" s="96">
        <f t="shared" si="2"/>
        <v>165785429</v>
      </c>
      <c r="E10" s="96">
        <f t="shared" si="2"/>
        <v>97007121</v>
      </c>
      <c r="F10" s="96">
        <f t="shared" si="2"/>
        <v>54243041</v>
      </c>
      <c r="G10" s="96">
        <f t="shared" si="2"/>
        <v>193593912</v>
      </c>
      <c r="H10" s="95">
        <f t="shared" si="2"/>
        <v>348196635</v>
      </c>
      <c r="I10" s="95">
        <f t="shared" si="2"/>
        <v>44084184</v>
      </c>
      <c r="J10" s="95">
        <f>J8+J9</f>
        <v>34013523</v>
      </c>
    </row>
    <row r="11" spans="2:10" x14ac:dyDescent="0.25">
      <c r="B11" s="167" t="s">
        <v>42</v>
      </c>
      <c r="C11" s="100">
        <v>-29894040</v>
      </c>
      <c r="D11" s="100">
        <v>-30645365</v>
      </c>
      <c r="E11" s="100">
        <v>-35892355</v>
      </c>
      <c r="F11" s="100">
        <v>-39295851</v>
      </c>
      <c r="G11" s="100">
        <v>-23452169</v>
      </c>
      <c r="H11" s="100">
        <v>-60358913</v>
      </c>
      <c r="I11" s="100">
        <v>-75589414</v>
      </c>
      <c r="J11" s="100">
        <v>-31732822</v>
      </c>
    </row>
    <row r="12" spans="2:10" x14ac:dyDescent="0.25">
      <c r="B12" s="167" t="s">
        <v>98</v>
      </c>
      <c r="C12" s="100">
        <v>-25721758</v>
      </c>
      <c r="D12" s="100">
        <v>-27417941</v>
      </c>
      <c r="E12" s="100">
        <v>-27872343</v>
      </c>
      <c r="F12" s="100">
        <v>-28406133</v>
      </c>
      <c r="G12" s="100">
        <v>-48153561</v>
      </c>
      <c r="H12" s="100">
        <v>-27443025</v>
      </c>
      <c r="I12" s="100">
        <v>-43953777</v>
      </c>
      <c r="J12" s="100">
        <v>-16384038</v>
      </c>
    </row>
    <row r="13" spans="2:10" x14ac:dyDescent="0.25">
      <c r="B13" s="168" t="s">
        <v>2</v>
      </c>
      <c r="C13" s="97">
        <f t="shared" ref="C13:I13" si="3">C10+C11+C12</f>
        <v>-29281681</v>
      </c>
      <c r="D13" s="96">
        <f t="shared" si="3"/>
        <v>107722123</v>
      </c>
      <c r="E13" s="96">
        <f t="shared" si="3"/>
        <v>33242423</v>
      </c>
      <c r="F13" s="97">
        <f t="shared" si="3"/>
        <v>-13458943</v>
      </c>
      <c r="G13" s="96">
        <f t="shared" si="3"/>
        <v>121988182</v>
      </c>
      <c r="H13" s="95">
        <f t="shared" si="3"/>
        <v>260394697</v>
      </c>
      <c r="I13" s="97">
        <f t="shared" si="3"/>
        <v>-75459007</v>
      </c>
      <c r="J13" s="97">
        <f>J10+J11+J12</f>
        <v>-14103337</v>
      </c>
    </row>
    <row r="14" spans="2:10" x14ac:dyDescent="0.25">
      <c r="B14" s="167" t="s">
        <v>104</v>
      </c>
      <c r="C14" s="101">
        <v>2156928</v>
      </c>
      <c r="D14" s="101">
        <v>2275264</v>
      </c>
      <c r="E14" s="101">
        <v>2840173</v>
      </c>
      <c r="F14" s="101">
        <v>3145704</v>
      </c>
      <c r="G14" s="101">
        <v>2956531</v>
      </c>
      <c r="H14" s="101">
        <v>2843014</v>
      </c>
      <c r="I14" s="98">
        <v>2978122</v>
      </c>
      <c r="J14" s="98">
        <v>837337</v>
      </c>
    </row>
    <row r="15" spans="2:10" x14ac:dyDescent="0.25">
      <c r="B15" s="167" t="s">
        <v>99</v>
      </c>
      <c r="C15" s="101">
        <v>-1200000</v>
      </c>
      <c r="D15" s="101">
        <v>0</v>
      </c>
      <c r="E15" s="101">
        <v>0</v>
      </c>
      <c r="F15" s="101">
        <v>0</v>
      </c>
      <c r="G15" s="101">
        <v>2344487</v>
      </c>
      <c r="H15" s="101">
        <v>0</v>
      </c>
      <c r="I15" s="169">
        <v>0</v>
      </c>
      <c r="J15" s="169">
        <v>0</v>
      </c>
    </row>
    <row r="16" spans="2:10" x14ac:dyDescent="0.25">
      <c r="B16" s="167" t="s">
        <v>100</v>
      </c>
      <c r="C16" s="101">
        <v>27344840</v>
      </c>
      <c r="D16" s="101">
        <v>1372852</v>
      </c>
      <c r="E16" s="101">
        <v>1623911</v>
      </c>
      <c r="F16" s="101">
        <v>869289</v>
      </c>
      <c r="G16" s="101">
        <v>1147654</v>
      </c>
      <c r="H16" s="101">
        <v>786773</v>
      </c>
      <c r="I16" s="100">
        <v>-720365</v>
      </c>
      <c r="J16" s="100">
        <v>630152</v>
      </c>
    </row>
    <row r="17" spans="2:11" x14ac:dyDescent="0.25">
      <c r="B17" s="168" t="s">
        <v>36</v>
      </c>
      <c r="C17" s="97">
        <f>C13+C14+C15+C16</f>
        <v>-979913</v>
      </c>
      <c r="D17" s="97">
        <f t="shared" ref="D17:I17" si="4">D13+D14+D15+D16</f>
        <v>111370239</v>
      </c>
      <c r="E17" s="97">
        <f t="shared" si="4"/>
        <v>37706507</v>
      </c>
      <c r="F17" s="97">
        <f t="shared" si="4"/>
        <v>-9443950</v>
      </c>
      <c r="G17" s="97">
        <f t="shared" si="4"/>
        <v>128436854</v>
      </c>
      <c r="H17" s="97">
        <f t="shared" si="4"/>
        <v>264024484</v>
      </c>
      <c r="I17" s="97">
        <f t="shared" si="4"/>
        <v>-73201250</v>
      </c>
      <c r="J17" s="97">
        <f>J13+J14+J15+J16</f>
        <v>-12635848</v>
      </c>
    </row>
    <row r="18" spans="2:11" x14ac:dyDescent="0.25">
      <c r="B18" s="167" t="s">
        <v>101</v>
      </c>
      <c r="C18" s="100">
        <v>-33061003</v>
      </c>
      <c r="D18" s="100">
        <v>-31560444</v>
      </c>
      <c r="E18" s="100">
        <v>-34361598</v>
      </c>
      <c r="F18" s="100">
        <v>-25380713</v>
      </c>
      <c r="G18" s="100">
        <v>-20346696</v>
      </c>
      <c r="H18" s="100">
        <v>-22607089</v>
      </c>
      <c r="I18" s="100">
        <v>-34569636</v>
      </c>
      <c r="J18" s="100">
        <v>-16226629</v>
      </c>
    </row>
    <row r="19" spans="2:11" ht="16.5" thickBot="1" x14ac:dyDescent="0.3">
      <c r="B19" s="167" t="s">
        <v>41</v>
      </c>
      <c r="C19" s="101">
        <v>-372338</v>
      </c>
      <c r="D19" s="100">
        <v>-2294032</v>
      </c>
      <c r="E19" s="100">
        <v>-653000</v>
      </c>
      <c r="F19" s="100">
        <v>-801078</v>
      </c>
      <c r="G19" s="100">
        <v>-2889609</v>
      </c>
      <c r="H19" s="100">
        <v>-7973078</v>
      </c>
      <c r="I19" s="100">
        <v>-356430</v>
      </c>
      <c r="J19" s="100">
        <v>-421589</v>
      </c>
    </row>
    <row r="20" spans="2:11" ht="17.25" thickTop="1" thickBot="1" x14ac:dyDescent="0.3">
      <c r="B20" s="170" t="s">
        <v>3</v>
      </c>
      <c r="C20" s="171">
        <f>C17+C18+C19</f>
        <v>-34413254</v>
      </c>
      <c r="D20" s="326">
        <f t="shared" ref="D20:I20" si="5">D17+D18+D19</f>
        <v>77515763</v>
      </c>
      <c r="E20" s="326">
        <f t="shared" si="5"/>
        <v>2691909</v>
      </c>
      <c r="F20" s="171">
        <f t="shared" si="5"/>
        <v>-35625741</v>
      </c>
      <c r="G20" s="326">
        <f t="shared" si="5"/>
        <v>105200549</v>
      </c>
      <c r="H20" s="326">
        <f t="shared" si="5"/>
        <v>233444317</v>
      </c>
      <c r="I20" s="171">
        <f t="shared" si="5"/>
        <v>-108127316</v>
      </c>
      <c r="J20" s="171">
        <f>J17+J18+J19</f>
        <v>-29284066</v>
      </c>
      <c r="K20" s="581"/>
    </row>
    <row r="21" spans="2:11" ht="16.5" thickTop="1" x14ac:dyDescent="0.25">
      <c r="B21" s="2" t="s">
        <v>43</v>
      </c>
      <c r="C21" s="100">
        <v>-289452</v>
      </c>
      <c r="D21" s="100">
        <v>-692696</v>
      </c>
      <c r="E21" s="100">
        <v>4070260</v>
      </c>
      <c r="F21" s="100">
        <v>439752</v>
      </c>
      <c r="G21" s="100">
        <v>-2172110</v>
      </c>
      <c r="H21" s="172">
        <v>-3994835</v>
      </c>
      <c r="I21" s="173">
        <v>2461410</v>
      </c>
      <c r="J21" s="173">
        <v>0</v>
      </c>
    </row>
    <row r="22" spans="2:11" x14ac:dyDescent="0.25">
      <c r="B22" s="2" t="s">
        <v>102</v>
      </c>
      <c r="C22" s="169">
        <v>0</v>
      </c>
      <c r="D22" s="169">
        <v>0</v>
      </c>
      <c r="E22" s="169">
        <v>0</v>
      </c>
      <c r="F22" s="169">
        <v>0</v>
      </c>
      <c r="G22" s="100">
        <v>-58985</v>
      </c>
      <c r="H22" s="100">
        <v>-1653</v>
      </c>
      <c r="I22" s="174">
        <v>-2292</v>
      </c>
      <c r="J22" s="174">
        <v>0</v>
      </c>
    </row>
    <row r="23" spans="2:11" x14ac:dyDescent="0.25">
      <c r="B23" s="3" t="s">
        <v>103</v>
      </c>
      <c r="C23" s="175">
        <f t="shared" ref="C23:I23" si="6">C21+C22</f>
        <v>-289452</v>
      </c>
      <c r="D23" s="175">
        <f t="shared" si="6"/>
        <v>-692696</v>
      </c>
      <c r="E23" s="175">
        <f t="shared" si="6"/>
        <v>4070260</v>
      </c>
      <c r="F23" s="175">
        <f t="shared" si="6"/>
        <v>439752</v>
      </c>
      <c r="G23" s="175">
        <f t="shared" si="6"/>
        <v>-2231095</v>
      </c>
      <c r="H23" s="175">
        <f t="shared" si="6"/>
        <v>-3996488</v>
      </c>
      <c r="I23" s="176">
        <f t="shared" si="6"/>
        <v>2459118</v>
      </c>
      <c r="J23" s="176">
        <f>J21+J22</f>
        <v>0</v>
      </c>
    </row>
    <row r="24" spans="2:11" ht="16.5" thickBot="1" x14ac:dyDescent="0.3">
      <c r="B24" s="177" t="s">
        <v>44</v>
      </c>
      <c r="C24" s="178">
        <f t="shared" ref="C24:I24" si="7">C20+C21+C22</f>
        <v>-34702706</v>
      </c>
      <c r="D24" s="179">
        <f t="shared" si="7"/>
        <v>76823067</v>
      </c>
      <c r="E24" s="179">
        <f t="shared" si="7"/>
        <v>6762169</v>
      </c>
      <c r="F24" s="178">
        <f t="shared" si="7"/>
        <v>-35185989</v>
      </c>
      <c r="G24" s="179">
        <f t="shared" si="7"/>
        <v>102969454</v>
      </c>
      <c r="H24" s="179">
        <f t="shared" si="7"/>
        <v>229447829</v>
      </c>
      <c r="I24" s="178">
        <f t="shared" si="7"/>
        <v>-105668198</v>
      </c>
      <c r="J24" s="178">
        <f>J20+J21+J22</f>
        <v>-29284066</v>
      </c>
    </row>
    <row r="25" spans="2:11" ht="16.5" thickTop="1" x14ac:dyDescent="0.25">
      <c r="B25" s="180" t="s">
        <v>5</v>
      </c>
      <c r="C25" s="181">
        <v>0</v>
      </c>
      <c r="D25" s="181">
        <v>0</v>
      </c>
      <c r="E25" s="181">
        <v>0</v>
      </c>
      <c r="F25" s="181">
        <v>0</v>
      </c>
      <c r="G25" s="181">
        <v>0</v>
      </c>
      <c r="H25" s="181">
        <v>0</v>
      </c>
      <c r="I25" s="181">
        <v>0</v>
      </c>
      <c r="J25" s="181">
        <v>0</v>
      </c>
    </row>
    <row r="26" spans="2:11" x14ac:dyDescent="0.25">
      <c r="C26" s="182"/>
    </row>
    <row r="27" spans="2:11" x14ac:dyDescent="0.25">
      <c r="B27" s="160" t="s">
        <v>6</v>
      </c>
      <c r="C27" s="161" t="s">
        <v>105</v>
      </c>
      <c r="D27" s="162"/>
      <c r="E27" s="162"/>
      <c r="F27" s="162"/>
      <c r="G27" s="162"/>
      <c r="H27" s="162"/>
      <c r="I27" s="163"/>
      <c r="J27" s="163" t="s">
        <v>680</v>
      </c>
    </row>
    <row r="28" spans="2:11" ht="3" customHeight="1" x14ac:dyDescent="0.25"/>
    <row r="29" spans="2:11" x14ac:dyDescent="0.25">
      <c r="B29" s="164" t="s">
        <v>39</v>
      </c>
      <c r="C29" s="165">
        <v>2017</v>
      </c>
      <c r="D29" s="165">
        <f t="shared" ref="D29:J29" si="8">C29+1</f>
        <v>2018</v>
      </c>
      <c r="E29" s="165">
        <f t="shared" si="8"/>
        <v>2019</v>
      </c>
      <c r="F29" s="165">
        <f t="shared" si="8"/>
        <v>2020</v>
      </c>
      <c r="G29" s="165">
        <f t="shared" si="8"/>
        <v>2021</v>
      </c>
      <c r="H29" s="166">
        <f t="shared" si="8"/>
        <v>2022</v>
      </c>
      <c r="I29" s="166">
        <f t="shared" si="8"/>
        <v>2023</v>
      </c>
      <c r="J29" s="166">
        <f t="shared" si="8"/>
        <v>2024</v>
      </c>
    </row>
    <row r="30" spans="2:11" x14ac:dyDescent="0.25">
      <c r="B30" s="183" t="s">
        <v>53</v>
      </c>
      <c r="C30" s="184"/>
      <c r="D30" s="184"/>
      <c r="E30" s="184"/>
      <c r="F30" s="184"/>
      <c r="G30" s="184"/>
      <c r="H30" s="185"/>
      <c r="I30" s="185"/>
      <c r="J30" s="185"/>
    </row>
    <row r="31" spans="2:11" x14ac:dyDescent="0.25">
      <c r="B31" s="167" t="s">
        <v>7</v>
      </c>
      <c r="C31" s="101">
        <v>849230150</v>
      </c>
      <c r="D31" s="101">
        <v>832826787</v>
      </c>
      <c r="E31" s="101">
        <v>794580526</v>
      </c>
      <c r="F31" s="101">
        <v>756950064</v>
      </c>
      <c r="G31" s="101">
        <v>691853720</v>
      </c>
      <c r="H31" s="101">
        <v>652194690</v>
      </c>
      <c r="I31" s="101">
        <v>643874701</v>
      </c>
      <c r="J31" s="101">
        <v>628232899</v>
      </c>
    </row>
    <row r="32" spans="2:11" x14ac:dyDescent="0.25">
      <c r="B32" s="167" t="s">
        <v>45</v>
      </c>
      <c r="C32" s="101">
        <v>0</v>
      </c>
      <c r="D32" s="101">
        <v>0</v>
      </c>
      <c r="E32" s="101">
        <v>9564766</v>
      </c>
      <c r="F32" s="101">
        <v>9793474</v>
      </c>
      <c r="G32" s="101">
        <v>14929593</v>
      </c>
      <c r="H32" s="101">
        <v>12001937</v>
      </c>
      <c r="I32" s="101">
        <v>9766712</v>
      </c>
      <c r="J32" s="101">
        <v>16605522</v>
      </c>
    </row>
    <row r="33" spans="2:10" x14ac:dyDescent="0.25">
      <c r="B33" s="167" t="s">
        <v>46</v>
      </c>
      <c r="C33" s="101">
        <v>652930</v>
      </c>
      <c r="D33" s="101">
        <v>204417</v>
      </c>
      <c r="E33" s="101">
        <v>472836</v>
      </c>
      <c r="F33" s="101">
        <v>432405</v>
      </c>
      <c r="G33" s="101">
        <v>305325</v>
      </c>
      <c r="H33" s="101">
        <v>1123205</v>
      </c>
      <c r="I33" s="101">
        <v>1056775</v>
      </c>
      <c r="J33" s="101">
        <v>968632</v>
      </c>
    </row>
    <row r="34" spans="2:10" x14ac:dyDescent="0.25">
      <c r="B34" s="167" t="s">
        <v>106</v>
      </c>
      <c r="C34" s="101">
        <v>15908041</v>
      </c>
      <c r="D34" s="101">
        <v>16139908</v>
      </c>
      <c r="E34" s="101">
        <v>16139908</v>
      </c>
      <c r="F34" s="101">
        <v>18941077</v>
      </c>
      <c r="G34" s="101">
        <v>18922587</v>
      </c>
      <c r="H34" s="101">
        <v>42086561</v>
      </c>
      <c r="I34" s="101">
        <v>42658456</v>
      </c>
      <c r="J34" s="101">
        <v>42621346</v>
      </c>
    </row>
    <row r="35" spans="2:10" x14ac:dyDescent="0.25">
      <c r="B35" s="167" t="s">
        <v>107</v>
      </c>
      <c r="C35" s="101">
        <v>16108965</v>
      </c>
      <c r="D35" s="101">
        <v>17464229</v>
      </c>
      <c r="E35" s="101">
        <v>18924402</v>
      </c>
      <c r="F35" s="101">
        <v>19770106</v>
      </c>
      <c r="G35" s="101">
        <v>19447652</v>
      </c>
      <c r="H35" s="101">
        <v>22289013</v>
      </c>
      <c r="I35" s="101">
        <v>20664843</v>
      </c>
      <c r="J35" s="101">
        <v>21502182</v>
      </c>
    </row>
    <row r="36" spans="2:10" x14ac:dyDescent="0.25">
      <c r="B36" s="168" t="s">
        <v>47</v>
      </c>
      <c r="C36" s="186">
        <f t="shared" ref="C36:I36" si="9">SUM(C31:C35)</f>
        <v>881900086</v>
      </c>
      <c r="D36" s="186">
        <f t="shared" si="9"/>
        <v>866635341</v>
      </c>
      <c r="E36" s="186">
        <f t="shared" si="9"/>
        <v>839682438</v>
      </c>
      <c r="F36" s="186">
        <f t="shared" si="9"/>
        <v>805887126</v>
      </c>
      <c r="G36" s="186">
        <f t="shared" si="9"/>
        <v>745458877</v>
      </c>
      <c r="H36" s="186">
        <f t="shared" si="9"/>
        <v>729695406</v>
      </c>
      <c r="I36" s="186">
        <f t="shared" si="9"/>
        <v>718021487</v>
      </c>
      <c r="J36" s="186">
        <f>SUM(J31:J35)</f>
        <v>709930581</v>
      </c>
    </row>
    <row r="37" spans="2:10" ht="3.6" customHeight="1" x14ac:dyDescent="0.25">
      <c r="B37" s="167"/>
      <c r="C37" s="187"/>
      <c r="D37" s="187"/>
      <c r="E37" s="187"/>
      <c r="F37" s="187"/>
      <c r="G37" s="187"/>
      <c r="H37" s="187"/>
      <c r="I37" s="187"/>
      <c r="J37" s="187"/>
    </row>
    <row r="38" spans="2:10" x14ac:dyDescent="0.25">
      <c r="B38" s="167" t="s">
        <v>49</v>
      </c>
      <c r="C38" s="101">
        <v>90948499</v>
      </c>
      <c r="D38" s="101">
        <v>88824637</v>
      </c>
      <c r="E38" s="101">
        <v>87997865</v>
      </c>
      <c r="F38" s="101">
        <v>58466609</v>
      </c>
      <c r="G38" s="101">
        <v>69565542</v>
      </c>
      <c r="H38" s="101">
        <v>109423030</v>
      </c>
      <c r="I38" s="101">
        <v>69450796</v>
      </c>
      <c r="J38" s="101">
        <v>66180974</v>
      </c>
    </row>
    <row r="39" spans="2:10" x14ac:dyDescent="0.25">
      <c r="B39" s="167" t="s">
        <v>50</v>
      </c>
      <c r="C39" s="101">
        <v>122338670</v>
      </c>
      <c r="D39" s="188">
        <v>205726134</v>
      </c>
      <c r="E39" s="188">
        <v>207719719</v>
      </c>
      <c r="F39" s="101">
        <v>140128631</v>
      </c>
      <c r="G39" s="101">
        <v>223224316</v>
      </c>
      <c r="H39" s="101">
        <v>343202685</v>
      </c>
      <c r="I39" s="101">
        <v>296070720</v>
      </c>
      <c r="J39" s="101">
        <v>263952251</v>
      </c>
    </row>
    <row r="40" spans="2:10" x14ac:dyDescent="0.25">
      <c r="B40" s="167" t="s">
        <v>51</v>
      </c>
      <c r="C40" s="101">
        <v>19932683</v>
      </c>
      <c r="D40" s="188">
        <v>21495657</v>
      </c>
      <c r="E40" s="188">
        <v>42990606</v>
      </c>
      <c r="F40" s="101">
        <v>34371044</v>
      </c>
      <c r="G40" s="101">
        <v>51645200</v>
      </c>
      <c r="H40" s="101">
        <v>45040718</v>
      </c>
      <c r="I40" s="101">
        <v>41736989</v>
      </c>
      <c r="J40" s="101">
        <v>46471122</v>
      </c>
    </row>
    <row r="41" spans="2:10" x14ac:dyDescent="0.25">
      <c r="B41" s="167" t="s">
        <v>52</v>
      </c>
      <c r="C41" s="101">
        <v>42653693</v>
      </c>
      <c r="D41" s="101">
        <v>10656986</v>
      </c>
      <c r="E41" s="101">
        <v>8491708</v>
      </c>
      <c r="F41" s="101">
        <v>8634070</v>
      </c>
      <c r="G41" s="101">
        <v>8916311</v>
      </c>
      <c r="H41" s="101">
        <v>9815988</v>
      </c>
      <c r="I41" s="101">
        <v>11888779</v>
      </c>
      <c r="J41" s="101">
        <v>4163400</v>
      </c>
    </row>
    <row r="42" spans="2:10" x14ac:dyDescent="0.25">
      <c r="B42" s="168" t="s">
        <v>48</v>
      </c>
      <c r="C42" s="186">
        <f t="shared" ref="C42:I42" si="10">SUM(C38:C41)</f>
        <v>275873545</v>
      </c>
      <c r="D42" s="186">
        <f t="shared" si="10"/>
        <v>326703414</v>
      </c>
      <c r="E42" s="186">
        <f t="shared" si="10"/>
        <v>347199898</v>
      </c>
      <c r="F42" s="186">
        <f t="shared" si="10"/>
        <v>241600354</v>
      </c>
      <c r="G42" s="186">
        <f t="shared" si="10"/>
        <v>353351369</v>
      </c>
      <c r="H42" s="186">
        <f t="shared" si="10"/>
        <v>507482421</v>
      </c>
      <c r="I42" s="186">
        <f t="shared" si="10"/>
        <v>419147284</v>
      </c>
      <c r="J42" s="186">
        <f>SUM(J38:J41)</f>
        <v>380767747</v>
      </c>
    </row>
    <row r="43" spans="2:10" ht="3" customHeight="1" x14ac:dyDescent="0.25">
      <c r="B43" s="189"/>
      <c r="C43" s="190"/>
      <c r="D43" s="190"/>
      <c r="E43" s="190"/>
      <c r="F43" s="190"/>
      <c r="G43" s="190"/>
      <c r="H43" s="190"/>
      <c r="I43" s="190"/>
      <c r="J43" s="190"/>
    </row>
    <row r="44" spans="2:10" ht="16.5" thickBot="1" x14ac:dyDescent="0.3">
      <c r="B44" s="191" t="s">
        <v>8</v>
      </c>
      <c r="C44" s="192">
        <f t="shared" ref="C44:I44" si="11">C42+C36</f>
        <v>1157773631</v>
      </c>
      <c r="D44" s="192">
        <f t="shared" si="11"/>
        <v>1193338755</v>
      </c>
      <c r="E44" s="192">
        <f t="shared" si="11"/>
        <v>1186882336</v>
      </c>
      <c r="F44" s="192">
        <f t="shared" si="11"/>
        <v>1047487480</v>
      </c>
      <c r="G44" s="192">
        <f t="shared" si="11"/>
        <v>1098810246</v>
      </c>
      <c r="H44" s="192">
        <f t="shared" si="11"/>
        <v>1237177827</v>
      </c>
      <c r="I44" s="192">
        <f t="shared" si="11"/>
        <v>1137168771</v>
      </c>
      <c r="J44" s="192">
        <f>J42+J36</f>
        <v>1090698328</v>
      </c>
    </row>
    <row r="45" spans="2:10" ht="3" customHeight="1" thickTop="1" x14ac:dyDescent="0.25">
      <c r="B45" s="167"/>
      <c r="C45" s="187"/>
      <c r="D45" s="187"/>
      <c r="E45" s="187"/>
      <c r="F45" s="187"/>
      <c r="G45" s="187"/>
      <c r="H45" s="187"/>
      <c r="I45" s="187"/>
      <c r="J45" s="187"/>
    </row>
    <row r="46" spans="2:10" x14ac:dyDescent="0.25">
      <c r="B46" s="193" t="s">
        <v>62</v>
      </c>
      <c r="C46" s="194"/>
      <c r="D46" s="194"/>
      <c r="E46" s="194"/>
      <c r="F46" s="194"/>
      <c r="G46" s="194"/>
      <c r="H46" s="194"/>
      <c r="I46" s="194"/>
      <c r="J46" s="194"/>
    </row>
    <row r="47" spans="2:10" x14ac:dyDescent="0.25">
      <c r="B47" s="167" t="s">
        <v>54</v>
      </c>
      <c r="C47" s="195">
        <f>348750000+26250000</f>
        <v>375000000</v>
      </c>
      <c r="D47" s="101">
        <v>375000000</v>
      </c>
      <c r="E47" s="101">
        <v>375000000</v>
      </c>
      <c r="F47" s="101">
        <v>375000000</v>
      </c>
      <c r="G47" s="101">
        <v>375000000</v>
      </c>
      <c r="H47" s="101">
        <v>450000000</v>
      </c>
      <c r="I47" s="101">
        <v>450000000</v>
      </c>
      <c r="J47" s="101">
        <v>450000000</v>
      </c>
    </row>
    <row r="48" spans="2:10" x14ac:dyDescent="0.25">
      <c r="B48" s="167" t="s">
        <v>55</v>
      </c>
      <c r="C48" s="101">
        <v>13152955</v>
      </c>
      <c r="D48" s="101">
        <v>13152955</v>
      </c>
      <c r="E48" s="101">
        <v>13152955</v>
      </c>
      <c r="F48" s="101">
        <v>13152955</v>
      </c>
      <c r="G48" s="101">
        <v>18578520</v>
      </c>
      <c r="H48" s="101">
        <v>23344432</v>
      </c>
      <c r="I48" s="101">
        <v>23344432</v>
      </c>
      <c r="J48" s="101">
        <v>23344432</v>
      </c>
    </row>
    <row r="49" spans="2:10" x14ac:dyDescent="0.25">
      <c r="B49" s="167" t="s">
        <v>113</v>
      </c>
      <c r="C49" s="101">
        <v>10000000</v>
      </c>
      <c r="D49" s="101">
        <v>10000000</v>
      </c>
      <c r="E49" s="101">
        <v>10000000</v>
      </c>
      <c r="F49" s="101">
        <v>10000000</v>
      </c>
      <c r="G49" s="101">
        <v>10000000</v>
      </c>
      <c r="H49" s="101">
        <v>0</v>
      </c>
      <c r="I49" s="101">
        <v>0</v>
      </c>
      <c r="J49" s="101">
        <v>0</v>
      </c>
    </row>
    <row r="50" spans="2:10" x14ac:dyDescent="0.25">
      <c r="B50" s="167" t="s">
        <v>114</v>
      </c>
      <c r="C50" s="196">
        <v>-99344147</v>
      </c>
      <c r="D50" s="196">
        <v>-22521080</v>
      </c>
      <c r="E50" s="196">
        <v>-15758911</v>
      </c>
      <c r="F50" s="196">
        <v>-50944900</v>
      </c>
      <c r="G50" s="101">
        <v>46598989</v>
      </c>
      <c r="H50" s="101">
        <v>161280906</v>
      </c>
      <c r="I50" s="101">
        <v>55612708</v>
      </c>
      <c r="J50" s="101">
        <v>26328642</v>
      </c>
    </row>
    <row r="51" spans="2:10" x14ac:dyDescent="0.25">
      <c r="B51" s="168" t="s">
        <v>56</v>
      </c>
      <c r="C51" s="186">
        <f t="shared" ref="C51:I51" si="12">SUM(C47:C50)</f>
        <v>298808808</v>
      </c>
      <c r="D51" s="186">
        <f t="shared" si="12"/>
        <v>375631875</v>
      </c>
      <c r="E51" s="186">
        <f t="shared" si="12"/>
        <v>382394044</v>
      </c>
      <c r="F51" s="186">
        <f t="shared" si="12"/>
        <v>347208055</v>
      </c>
      <c r="G51" s="186">
        <f t="shared" si="12"/>
        <v>450177509</v>
      </c>
      <c r="H51" s="186">
        <f t="shared" si="12"/>
        <v>634625338</v>
      </c>
      <c r="I51" s="186">
        <f t="shared" si="12"/>
        <v>528957140</v>
      </c>
      <c r="J51" s="186">
        <f>SUM(J47:J50)</f>
        <v>499673074</v>
      </c>
    </row>
    <row r="52" spans="2:10" ht="3" customHeight="1" x14ac:dyDescent="0.25">
      <c r="B52" s="167"/>
      <c r="C52" s="197"/>
      <c r="D52" s="197"/>
      <c r="E52" s="197"/>
      <c r="F52" s="197"/>
      <c r="G52" s="197"/>
      <c r="H52" s="197"/>
      <c r="I52" s="197"/>
      <c r="J52" s="197"/>
    </row>
    <row r="53" spans="2:10" x14ac:dyDescent="0.25">
      <c r="B53" s="167" t="s">
        <v>108</v>
      </c>
      <c r="C53" s="101">
        <v>157945004</v>
      </c>
      <c r="D53" s="101">
        <v>198307871</v>
      </c>
      <c r="E53" s="101">
        <v>97615702</v>
      </c>
      <c r="F53" s="101">
        <v>183209407</v>
      </c>
      <c r="G53" s="101">
        <v>97884582</v>
      </c>
      <c r="H53" s="101">
        <v>67130498</v>
      </c>
      <c r="I53" s="101">
        <v>69267710</v>
      </c>
      <c r="J53" s="101">
        <v>55952059</v>
      </c>
    </row>
    <row r="54" spans="2:10" x14ac:dyDescent="0.25">
      <c r="B54" s="167" t="s">
        <v>57</v>
      </c>
      <c r="C54" s="101">
        <v>34123925</v>
      </c>
      <c r="D54" s="101">
        <v>35544762</v>
      </c>
      <c r="E54" s="101">
        <v>35500501</v>
      </c>
      <c r="F54" s="101">
        <v>35882128</v>
      </c>
      <c r="G54" s="101">
        <v>39831613</v>
      </c>
      <c r="H54" s="101">
        <v>48107322</v>
      </c>
      <c r="I54" s="101">
        <v>48766362</v>
      </c>
      <c r="J54" s="101">
        <v>49975669</v>
      </c>
    </row>
    <row r="55" spans="2:10" x14ac:dyDescent="0.25">
      <c r="B55" s="167" t="s">
        <v>109</v>
      </c>
      <c r="C55" s="101">
        <v>0</v>
      </c>
      <c r="D55" s="101">
        <v>0</v>
      </c>
      <c r="E55" s="101">
        <v>8512812</v>
      </c>
      <c r="F55" s="101">
        <v>8712179</v>
      </c>
      <c r="G55" s="101">
        <v>10854739</v>
      </c>
      <c r="H55" s="101">
        <v>7929201</v>
      </c>
      <c r="I55" s="101">
        <v>7206799</v>
      </c>
      <c r="J55" s="101">
        <v>11479954</v>
      </c>
    </row>
    <row r="56" spans="2:10" x14ac:dyDescent="0.25">
      <c r="B56" s="168" t="s">
        <v>10</v>
      </c>
      <c r="C56" s="186">
        <f t="shared" ref="C56:I56" si="13">C53+C54+C55</f>
        <v>192068929</v>
      </c>
      <c r="D56" s="186">
        <f t="shared" si="13"/>
        <v>233852633</v>
      </c>
      <c r="E56" s="186">
        <f t="shared" si="13"/>
        <v>141629015</v>
      </c>
      <c r="F56" s="186">
        <f t="shared" si="13"/>
        <v>227803714</v>
      </c>
      <c r="G56" s="186">
        <f t="shared" si="13"/>
        <v>148570934</v>
      </c>
      <c r="H56" s="186">
        <f t="shared" si="13"/>
        <v>123167021</v>
      </c>
      <c r="I56" s="186">
        <f t="shared" si="13"/>
        <v>125240871</v>
      </c>
      <c r="J56" s="186">
        <f>J53+J54+J55</f>
        <v>117407682</v>
      </c>
    </row>
    <row r="57" spans="2:10" ht="3" customHeight="1" x14ac:dyDescent="0.25">
      <c r="B57" s="167"/>
      <c r="C57" s="197"/>
      <c r="D57" s="197"/>
      <c r="E57" s="197"/>
      <c r="F57" s="197"/>
      <c r="G57" s="197"/>
      <c r="H57" s="197"/>
      <c r="I57" s="197"/>
      <c r="J57" s="197"/>
    </row>
    <row r="58" spans="2:10" x14ac:dyDescent="0.25">
      <c r="B58" s="167" t="s">
        <v>59</v>
      </c>
      <c r="C58" s="101">
        <v>111888591</v>
      </c>
      <c r="D58" s="101">
        <v>118922776</v>
      </c>
      <c r="E58" s="101">
        <v>133110309</v>
      </c>
      <c r="F58" s="101">
        <v>84954008</v>
      </c>
      <c r="G58" s="101">
        <v>125661359</v>
      </c>
      <c r="H58" s="101">
        <v>133950732</v>
      </c>
      <c r="I58" s="101">
        <v>119610739</v>
      </c>
      <c r="J58" s="101">
        <v>145228527</v>
      </c>
    </row>
    <row r="59" spans="2:10" x14ac:dyDescent="0.25">
      <c r="B59" s="167" t="s">
        <v>60</v>
      </c>
      <c r="C59" s="101">
        <v>37965678</v>
      </c>
      <c r="D59" s="101">
        <v>31665840</v>
      </c>
      <c r="E59" s="101">
        <v>35864723</v>
      </c>
      <c r="F59" s="101">
        <v>36229714</v>
      </c>
      <c r="G59" s="101">
        <v>47470359</v>
      </c>
      <c r="H59" s="101">
        <v>31015398</v>
      </c>
      <c r="I59" s="101">
        <v>33988154</v>
      </c>
      <c r="J59" s="101">
        <v>30889136</v>
      </c>
    </row>
    <row r="60" spans="2:10" x14ac:dyDescent="0.25">
      <c r="B60" s="167" t="s">
        <v>110</v>
      </c>
      <c r="C60" s="101">
        <v>338505763</v>
      </c>
      <c r="D60" s="101">
        <v>336032374</v>
      </c>
      <c r="E60" s="188">
        <v>369448865</v>
      </c>
      <c r="F60" s="101">
        <v>282427627</v>
      </c>
      <c r="G60" s="101">
        <v>234920846</v>
      </c>
      <c r="H60" s="101">
        <v>232512353</v>
      </c>
      <c r="I60" s="101">
        <v>267678203</v>
      </c>
      <c r="J60" s="101">
        <v>250163701</v>
      </c>
    </row>
    <row r="61" spans="2:10" x14ac:dyDescent="0.25">
      <c r="B61" s="167" t="s">
        <v>111</v>
      </c>
      <c r="C61" s="101">
        <v>178098683</v>
      </c>
      <c r="D61" s="101">
        <v>94939225</v>
      </c>
      <c r="E61" s="188">
        <v>123142910</v>
      </c>
      <c r="F61" s="101">
        <v>67186753</v>
      </c>
      <c r="G61" s="101">
        <v>85678042</v>
      </c>
      <c r="H61" s="101">
        <v>70863227</v>
      </c>
      <c r="I61" s="101">
        <v>58946986</v>
      </c>
      <c r="J61" s="101">
        <v>40232391</v>
      </c>
    </row>
    <row r="62" spans="2:10" x14ac:dyDescent="0.25">
      <c r="B62" s="167" t="s">
        <v>61</v>
      </c>
      <c r="C62" s="101">
        <v>0</v>
      </c>
      <c r="D62" s="101">
        <v>0</v>
      </c>
      <c r="E62" s="188">
        <v>600639</v>
      </c>
      <c r="F62" s="101">
        <v>829708</v>
      </c>
      <c r="G62" s="101">
        <v>3189010</v>
      </c>
      <c r="H62" s="101">
        <v>3027121</v>
      </c>
      <c r="I62" s="101">
        <v>992455</v>
      </c>
      <c r="J62" s="101">
        <v>5544675</v>
      </c>
    </row>
    <row r="63" spans="2:10" x14ac:dyDescent="0.25">
      <c r="B63" s="167" t="s">
        <v>112</v>
      </c>
      <c r="C63" s="101">
        <v>437179</v>
      </c>
      <c r="D63" s="101">
        <v>2294032</v>
      </c>
      <c r="E63" s="101">
        <v>691831</v>
      </c>
      <c r="F63" s="101">
        <v>847901</v>
      </c>
      <c r="G63" s="101">
        <v>3142187</v>
      </c>
      <c r="H63" s="101">
        <v>8016637</v>
      </c>
      <c r="I63" s="101">
        <v>1754223</v>
      </c>
      <c r="J63" s="101">
        <v>1559142</v>
      </c>
    </row>
    <row r="64" spans="2:10" x14ac:dyDescent="0.25">
      <c r="B64" s="168" t="s">
        <v>9</v>
      </c>
      <c r="C64" s="186">
        <f t="shared" ref="C64:I64" si="14">SUM(C58:C63)</f>
        <v>666895894</v>
      </c>
      <c r="D64" s="186">
        <f t="shared" si="14"/>
        <v>583854247</v>
      </c>
      <c r="E64" s="186">
        <f t="shared" si="14"/>
        <v>662859277</v>
      </c>
      <c r="F64" s="186">
        <f t="shared" si="14"/>
        <v>472475711</v>
      </c>
      <c r="G64" s="186">
        <f t="shared" si="14"/>
        <v>500061803</v>
      </c>
      <c r="H64" s="186">
        <f t="shared" si="14"/>
        <v>479385468</v>
      </c>
      <c r="I64" s="186">
        <f t="shared" si="14"/>
        <v>482970760</v>
      </c>
      <c r="J64" s="186">
        <f>SUM(J58:J63)</f>
        <v>473617572</v>
      </c>
    </row>
    <row r="65" spans="2:10" ht="3" customHeight="1" x14ac:dyDescent="0.25">
      <c r="B65" s="167"/>
      <c r="C65" s="197"/>
      <c r="D65" s="197"/>
      <c r="E65" s="197"/>
      <c r="F65" s="197"/>
      <c r="G65" s="197"/>
      <c r="H65" s="197"/>
      <c r="I65" s="197"/>
      <c r="J65" s="197"/>
    </row>
    <row r="66" spans="2:10" ht="16.5" thickBot="1" x14ac:dyDescent="0.3">
      <c r="B66" s="198" t="s">
        <v>58</v>
      </c>
      <c r="C66" s="199">
        <f t="shared" ref="C66:I66" si="15">C64+C51+C56</f>
        <v>1157773631</v>
      </c>
      <c r="D66" s="199">
        <f t="shared" si="15"/>
        <v>1193338755</v>
      </c>
      <c r="E66" s="199">
        <f t="shared" si="15"/>
        <v>1186882336</v>
      </c>
      <c r="F66" s="199">
        <f t="shared" si="15"/>
        <v>1047487480</v>
      </c>
      <c r="G66" s="199">
        <f t="shared" si="15"/>
        <v>1098810246</v>
      </c>
      <c r="H66" s="199">
        <f t="shared" si="15"/>
        <v>1237177827</v>
      </c>
      <c r="I66" s="199">
        <f t="shared" si="15"/>
        <v>1137168771</v>
      </c>
      <c r="J66" s="199">
        <f>J64+J51+J56</f>
        <v>1090698328</v>
      </c>
    </row>
    <row r="67" spans="2:10" ht="8.4499999999999993" customHeight="1" thickTop="1" x14ac:dyDescent="0.25">
      <c r="B67" s="200"/>
      <c r="C67" s="201"/>
      <c r="D67" s="201"/>
      <c r="E67" s="201"/>
      <c r="F67" s="201"/>
      <c r="G67" s="201"/>
      <c r="H67" s="201"/>
      <c r="I67" s="201"/>
      <c r="J67" s="201"/>
    </row>
    <row r="68" spans="2:10" x14ac:dyDescent="0.25">
      <c r="B68" s="202" t="s">
        <v>11</v>
      </c>
      <c r="C68" s="203">
        <f t="shared" ref="C68:I68" si="16">C44-C66</f>
        <v>0</v>
      </c>
      <c r="D68" s="203">
        <f t="shared" si="16"/>
        <v>0</v>
      </c>
      <c r="E68" s="203">
        <f t="shared" si="16"/>
        <v>0</v>
      </c>
      <c r="F68" s="203">
        <f t="shared" si="16"/>
        <v>0</v>
      </c>
      <c r="G68" s="203">
        <f t="shared" si="16"/>
        <v>0</v>
      </c>
      <c r="H68" s="203">
        <f t="shared" si="16"/>
        <v>0</v>
      </c>
      <c r="I68" s="203">
        <f t="shared" si="16"/>
        <v>0</v>
      </c>
      <c r="J68" s="203">
        <f>J44-J66</f>
        <v>0</v>
      </c>
    </row>
    <row r="70" spans="2:10" x14ac:dyDescent="0.25">
      <c r="F70" s="204"/>
      <c r="G70" s="204"/>
    </row>
    <row r="71" spans="2:10" x14ac:dyDescent="0.25">
      <c r="F71" s="204"/>
    </row>
    <row r="72" spans="2:10" x14ac:dyDescent="0.25">
      <c r="F72" s="204"/>
    </row>
  </sheetData>
  <conditionalFormatting sqref="B3:J3">
    <cfRule type="containsText" dxfId="1" priority="2" operator="containsText" text="GOOD">
      <formula>NOT(ISERROR(SEARCH("GOOD",B3)))</formula>
    </cfRule>
  </conditionalFormatting>
  <conditionalFormatting sqref="C3:J3">
    <cfRule type="containsText" dxfId="0" priority="1" operator="containsText" text="Error">
      <formula>NOT(ISERROR(SEARCH("Error",C3)))</formula>
    </cfRule>
  </conditionalFormatting>
  <hyperlinks>
    <hyperlink ref="B1" location="Index!A1" display="Home Index (click here)" xr:uid="{C7EF3FB1-538A-4EBA-984B-A411AB101621}"/>
  </hyperlinks>
  <pageMargins left="0.36" right="0.27" top="0.47" bottom="0.5" header="0.3" footer="0.3"/>
  <pageSetup paperSize="9" scale="50" fitToHeight="0" orientation="portrait"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5E89D5-F01D-4994-AB59-94C7B67A2C6B}">
  <dimension ref="B1:K26"/>
  <sheetViews>
    <sheetView workbookViewId="0">
      <selection activeCell="C30" sqref="C30"/>
    </sheetView>
  </sheetViews>
  <sheetFormatPr defaultRowHeight="15.75" outlineLevelRow="1" x14ac:dyDescent="0.25"/>
  <cols>
    <col min="1" max="1" width="5.42578125" customWidth="1"/>
    <col min="2" max="2" width="45.85546875" customWidth="1"/>
    <col min="3" max="3" width="15" customWidth="1"/>
    <col min="4" max="7" width="14" bestFit="1" customWidth="1"/>
    <col min="8" max="8" width="14.28515625" bestFit="1" customWidth="1"/>
    <col min="9" max="10" width="15.85546875" customWidth="1"/>
  </cols>
  <sheetData>
    <row r="1" spans="2:11" ht="21" thickBot="1" x14ac:dyDescent="0.35">
      <c r="B1" s="132" t="s">
        <v>248</v>
      </c>
    </row>
    <row r="2" spans="2:11" ht="20.25" x14ac:dyDescent="0.3">
      <c r="B2" s="135"/>
    </row>
    <row r="3" spans="2:11" ht="18.75" x14ac:dyDescent="0.3">
      <c r="B3" s="55" t="s">
        <v>941</v>
      </c>
    </row>
    <row r="4" spans="2:11" ht="16.5" thickBot="1" x14ac:dyDescent="0.3">
      <c r="I4" s="493"/>
      <c r="J4" s="493" t="s">
        <v>680</v>
      </c>
    </row>
    <row r="5" spans="2:11" s="42" customFormat="1" x14ac:dyDescent="0.25">
      <c r="B5" s="108" t="s">
        <v>39</v>
      </c>
      <c r="C5" s="109">
        <v>2017</v>
      </c>
      <c r="D5" s="109">
        <f t="shared" ref="D5:I5" si="0">C5+1</f>
        <v>2018</v>
      </c>
      <c r="E5" s="109">
        <f t="shared" si="0"/>
        <v>2019</v>
      </c>
      <c r="F5" s="109">
        <f t="shared" si="0"/>
        <v>2020</v>
      </c>
      <c r="G5" s="109">
        <f t="shared" si="0"/>
        <v>2021</v>
      </c>
      <c r="H5" s="110">
        <f t="shared" si="0"/>
        <v>2022</v>
      </c>
      <c r="I5" s="111">
        <f t="shared" si="0"/>
        <v>2023</v>
      </c>
      <c r="J5" s="111">
        <f>$I$5+1</f>
        <v>2024</v>
      </c>
    </row>
    <row r="6" spans="2:11" s="42" customFormat="1" outlineLevel="1" x14ac:dyDescent="0.25">
      <c r="B6" s="56" t="s">
        <v>0</v>
      </c>
      <c r="C6" s="98">
        <v>618298747</v>
      </c>
      <c r="D6" s="99">
        <v>764562777</v>
      </c>
      <c r="E6" s="99">
        <v>646481189</v>
      </c>
      <c r="F6" s="99">
        <v>563272730</v>
      </c>
      <c r="G6" s="99">
        <v>791000421</v>
      </c>
      <c r="H6" s="98">
        <v>982392366</v>
      </c>
      <c r="I6" s="495">
        <v>657861400</v>
      </c>
      <c r="J6" s="495">
        <f>+' - FS '!$J$8</f>
        <v>331615280</v>
      </c>
    </row>
    <row r="7" spans="2:11" s="42" customFormat="1" outlineLevel="1" x14ac:dyDescent="0.25">
      <c r="B7" s="56" t="s">
        <v>40</v>
      </c>
      <c r="C7" s="100">
        <f>-(591964630-75792442-2528572)</f>
        <v>-513643616</v>
      </c>
      <c r="D7" s="100">
        <f>-(598777348-72575327-524819-484633-21000)</f>
        <v>-525171569</v>
      </c>
      <c r="E7" s="100">
        <f>-(549474068-74321399)</f>
        <v>-475152669</v>
      </c>
      <c r="F7" s="100">
        <f>-(509029689-70729469)</f>
        <v>-438300220</v>
      </c>
      <c r="G7" s="100">
        <f>-(597406509-69515048-2715717)</f>
        <v>-525175744</v>
      </c>
      <c r="H7" s="100">
        <f>-(634195731-68179084)</f>
        <v>-566016647</v>
      </c>
      <c r="I7" s="112">
        <f>-543016453</f>
        <v>-543016453</v>
      </c>
      <c r="J7" s="112">
        <f>+' - FS '!$J$9 +(32487182.95+3246710.87+92677.05)</f>
        <v>-261775186.13</v>
      </c>
    </row>
    <row r="8" spans="2:11" s="42" customFormat="1" outlineLevel="1" x14ac:dyDescent="0.25">
      <c r="B8" s="113" t="s">
        <v>1</v>
      </c>
      <c r="C8" s="95">
        <f t="shared" ref="C8:H8" si="1">C6+C7</f>
        <v>104655131</v>
      </c>
      <c r="D8" s="96">
        <f t="shared" si="1"/>
        <v>239391208</v>
      </c>
      <c r="E8" s="96">
        <f>E6+E7</f>
        <v>171328520</v>
      </c>
      <c r="F8" s="107">
        <f>F6+F7</f>
        <v>124972510</v>
      </c>
      <c r="G8" s="96">
        <f t="shared" si="1"/>
        <v>265824677</v>
      </c>
      <c r="H8" s="95">
        <f t="shared" si="1"/>
        <v>416375719</v>
      </c>
      <c r="I8" s="114">
        <f>I6+I7</f>
        <v>114844947</v>
      </c>
      <c r="J8" s="114">
        <f>J6+J7</f>
        <v>69840093.870000005</v>
      </c>
    </row>
    <row r="9" spans="2:11" s="42" customFormat="1" outlineLevel="1" x14ac:dyDescent="0.25">
      <c r="B9" s="56" t="s">
        <v>42</v>
      </c>
      <c r="C9" s="100">
        <f>-(29894040-1832467)</f>
        <v>-28061573</v>
      </c>
      <c r="D9" s="100">
        <v>-30645365</v>
      </c>
      <c r="E9" s="100">
        <f>-(35892355-789561-442961)</f>
        <v>-34659833</v>
      </c>
      <c r="F9" s="100">
        <f>-(39295851-526840-276205)</f>
        <v>-38492806</v>
      </c>
      <c r="G9" s="100">
        <f>-(23452169-528029-500808-149602)</f>
        <v>-22273730</v>
      </c>
      <c r="H9" s="100">
        <f>-(60358913-4150606)</f>
        <v>-56208307</v>
      </c>
      <c r="I9" s="112">
        <v>-74351200</v>
      </c>
      <c r="J9" s="112">
        <f>+' - FS '!$J$11+(743129.38+40437.23+1889.66)</f>
        <v>-30947365.73</v>
      </c>
      <c r="K9" s="593"/>
    </row>
    <row r="10" spans="2:11" s="42" customFormat="1" outlineLevel="1" x14ac:dyDescent="0.25">
      <c r="B10" s="56" t="s">
        <v>98</v>
      </c>
      <c r="C10" s="100">
        <v>-25721758</v>
      </c>
      <c r="D10" s="100">
        <v>-27417941</v>
      </c>
      <c r="E10" s="100">
        <f>-(27872343-12494)</f>
        <v>-27859849</v>
      </c>
      <c r="F10" s="100">
        <f>-(28406133-6594)</f>
        <v>-28399539</v>
      </c>
      <c r="G10" s="100">
        <f>-(48153561-2956)</f>
        <v>-48150605</v>
      </c>
      <c r="H10" s="100">
        <f>-(27443025-11491)</f>
        <v>-27431534</v>
      </c>
      <c r="I10" s="112">
        <v>-43953499</v>
      </c>
      <c r="J10" s="112">
        <f>+' - FS '!$J$12 +(138+0+0)</f>
        <v>-16383900</v>
      </c>
    </row>
    <row r="11" spans="2:11" s="42" customFormat="1" outlineLevel="1" x14ac:dyDescent="0.25">
      <c r="B11" s="113" t="s">
        <v>224</v>
      </c>
      <c r="C11" s="97">
        <f t="shared" ref="C11:H11" si="2">C8+C9+C10</f>
        <v>50871800</v>
      </c>
      <c r="D11" s="96">
        <f t="shared" si="2"/>
        <v>181327902</v>
      </c>
      <c r="E11" s="96">
        <f t="shared" si="2"/>
        <v>108808838</v>
      </c>
      <c r="F11" s="97">
        <f t="shared" si="2"/>
        <v>58080165</v>
      </c>
      <c r="G11" s="96">
        <f t="shared" si="2"/>
        <v>195400342</v>
      </c>
      <c r="H11" s="95">
        <f t="shared" si="2"/>
        <v>332735878</v>
      </c>
      <c r="I11" s="115">
        <f>I8+I9+I10</f>
        <v>-3459752</v>
      </c>
      <c r="J11" s="115">
        <f>J8+J9+J10</f>
        <v>22508828.140000001</v>
      </c>
    </row>
    <row r="12" spans="2:11" s="42" customFormat="1" outlineLevel="1" x14ac:dyDescent="0.25">
      <c r="B12" s="56" t="s">
        <v>104</v>
      </c>
      <c r="C12" s="101">
        <v>2156928</v>
      </c>
      <c r="D12" s="101">
        <v>2275264</v>
      </c>
      <c r="E12" s="101">
        <v>2840173</v>
      </c>
      <c r="F12" s="101">
        <v>3145704</v>
      </c>
      <c r="G12" s="101">
        <v>2956531</v>
      </c>
      <c r="H12" s="101">
        <v>2843014</v>
      </c>
      <c r="I12" s="495">
        <v>2978122</v>
      </c>
      <c r="J12" s="495">
        <f>+' - FS '!$J$14</f>
        <v>837337</v>
      </c>
    </row>
    <row r="13" spans="2:11" s="42" customFormat="1" outlineLevel="1" x14ac:dyDescent="0.25">
      <c r="B13" s="56" t="s">
        <v>99</v>
      </c>
      <c r="C13" s="101">
        <v>-1200000</v>
      </c>
      <c r="D13" s="101">
        <v>0</v>
      </c>
      <c r="E13" s="101">
        <v>0</v>
      </c>
      <c r="F13" s="101">
        <v>0</v>
      </c>
      <c r="G13" s="101">
        <v>2344487</v>
      </c>
      <c r="H13" s="101">
        <v>0</v>
      </c>
      <c r="I13" s="496">
        <v>0</v>
      </c>
      <c r="J13" s="496">
        <v>0</v>
      </c>
    </row>
    <row r="14" spans="2:11" s="42" customFormat="1" outlineLevel="1" x14ac:dyDescent="0.25">
      <c r="B14" s="56" t="s">
        <v>100</v>
      </c>
      <c r="C14" s="101">
        <v>27344840</v>
      </c>
      <c r="D14" s="101">
        <v>1372852</v>
      </c>
      <c r="E14" s="101">
        <v>1623911</v>
      </c>
      <c r="F14" s="101">
        <v>869289</v>
      </c>
      <c r="G14" s="101">
        <v>1147654</v>
      </c>
      <c r="H14" s="101">
        <v>786773</v>
      </c>
      <c r="I14" s="497">
        <v>-720365</v>
      </c>
      <c r="J14" s="497">
        <f>+' - FS '!$J$16</f>
        <v>630152</v>
      </c>
    </row>
    <row r="15" spans="2:11" s="42" customFormat="1" ht="31.5" x14ac:dyDescent="0.25">
      <c r="B15" s="116" t="s">
        <v>223</v>
      </c>
      <c r="C15" s="102">
        <f t="shared" ref="C15:H15" si="3">C11+C12+C13+C14</f>
        <v>79173568</v>
      </c>
      <c r="D15" s="102">
        <f t="shared" si="3"/>
        <v>184976018</v>
      </c>
      <c r="E15" s="102">
        <f t="shared" si="3"/>
        <v>113272922</v>
      </c>
      <c r="F15" s="102">
        <f t="shared" si="3"/>
        <v>62095158</v>
      </c>
      <c r="G15" s="102">
        <f t="shared" si="3"/>
        <v>201849014</v>
      </c>
      <c r="H15" s="102">
        <f t="shared" si="3"/>
        <v>336365665</v>
      </c>
      <c r="I15" s="117">
        <f>I11+I12+I13+I14</f>
        <v>-1201995</v>
      </c>
      <c r="J15" s="117">
        <f>J11+J12+J13+J14</f>
        <v>23976317.140000001</v>
      </c>
    </row>
    <row r="16" spans="2:11" s="42" customFormat="1" outlineLevel="1" x14ac:dyDescent="0.25">
      <c r="B16" s="56" t="s">
        <v>196</v>
      </c>
      <c r="C16" s="103">
        <f>-(75792442+2528572+1832467)</f>
        <v>-80153481</v>
      </c>
      <c r="D16" s="103">
        <f>-(72575327+524819+484633+21000)</f>
        <v>-73605779</v>
      </c>
      <c r="E16" s="103">
        <f>-(74321399+789561+442961+12494)</f>
        <v>-75566415</v>
      </c>
      <c r="F16" s="106">
        <f>-(70729469+526840+276205+6594)</f>
        <v>-71539108</v>
      </c>
      <c r="G16" s="103">
        <f>-(69515048+2715717+528029+500808+149602+2956)</f>
        <v>-73412160</v>
      </c>
      <c r="H16" s="103">
        <v>-72341181</v>
      </c>
      <c r="I16" s="118">
        <v>-71999255</v>
      </c>
      <c r="J16" s="118">
        <f>-(32487182.95+3246710.87+92677.05+743129.38+40437.23+1889.66+138+0+0)</f>
        <v>-36612165.139999993</v>
      </c>
    </row>
    <row r="17" spans="2:10" s="42" customFormat="1" x14ac:dyDescent="0.25">
      <c r="B17" s="119" t="s">
        <v>197</v>
      </c>
      <c r="C17" s="104">
        <f t="shared" ref="C17:I17" si="4">C15+C16</f>
        <v>-979913</v>
      </c>
      <c r="D17" s="104">
        <f t="shared" si="4"/>
        <v>111370239</v>
      </c>
      <c r="E17" s="104">
        <f t="shared" si="4"/>
        <v>37706507</v>
      </c>
      <c r="F17" s="104">
        <f t="shared" si="4"/>
        <v>-9443950</v>
      </c>
      <c r="G17" s="104">
        <f t="shared" si="4"/>
        <v>128436854</v>
      </c>
      <c r="H17" s="104">
        <f t="shared" si="4"/>
        <v>264024484</v>
      </c>
      <c r="I17" s="120">
        <f t="shared" si="4"/>
        <v>-73201250</v>
      </c>
      <c r="J17" s="120">
        <f>J15+J16</f>
        <v>-12635847.999999993</v>
      </c>
    </row>
    <row r="18" spans="2:10" s="42" customFormat="1" outlineLevel="1" x14ac:dyDescent="0.25">
      <c r="B18" s="56" t="s">
        <v>220</v>
      </c>
      <c r="C18" s="103">
        <v>-33061003</v>
      </c>
      <c r="D18" s="103">
        <v>-31560444</v>
      </c>
      <c r="E18" s="103">
        <v>-34361598</v>
      </c>
      <c r="F18" s="103">
        <v>-25380713</v>
      </c>
      <c r="G18" s="103">
        <v>-20346696</v>
      </c>
      <c r="H18" s="103">
        <v>-22607089</v>
      </c>
      <c r="I18" s="497">
        <v>-34569636</v>
      </c>
      <c r="J18" s="497">
        <f>+' - FS '!$J$18</f>
        <v>-16226629</v>
      </c>
    </row>
    <row r="19" spans="2:10" s="42" customFormat="1" x14ac:dyDescent="0.25">
      <c r="B19" s="119" t="s">
        <v>222</v>
      </c>
      <c r="C19" s="104">
        <f t="shared" ref="C19:I19" si="5">C17+C18</f>
        <v>-34040916</v>
      </c>
      <c r="D19" s="104">
        <f t="shared" si="5"/>
        <v>79809795</v>
      </c>
      <c r="E19" s="104">
        <f t="shared" si="5"/>
        <v>3344909</v>
      </c>
      <c r="F19" s="104">
        <f t="shared" si="5"/>
        <v>-34824663</v>
      </c>
      <c r="G19" s="104">
        <f t="shared" si="5"/>
        <v>108090158</v>
      </c>
      <c r="H19" s="104">
        <f t="shared" si="5"/>
        <v>241417395</v>
      </c>
      <c r="I19" s="120">
        <f t="shared" si="5"/>
        <v>-107770886</v>
      </c>
      <c r="J19" s="120">
        <f>J17+J18</f>
        <v>-28862476.999999993</v>
      </c>
    </row>
    <row r="20" spans="2:10" s="42" customFormat="1" outlineLevel="1" x14ac:dyDescent="0.25">
      <c r="B20" s="56" t="s">
        <v>41</v>
      </c>
      <c r="C20" s="103">
        <v>-372338</v>
      </c>
      <c r="D20" s="103">
        <v>-2294032</v>
      </c>
      <c r="E20" s="103">
        <v>-653000</v>
      </c>
      <c r="F20" s="103">
        <v>-801078</v>
      </c>
      <c r="G20" s="103">
        <v>-2889609</v>
      </c>
      <c r="H20" s="103">
        <v>-7973078</v>
      </c>
      <c r="I20" s="497">
        <v>-356430</v>
      </c>
      <c r="J20" s="497">
        <f>+' - FS '!$J$19</f>
        <v>-421589</v>
      </c>
    </row>
    <row r="21" spans="2:10" s="42" customFormat="1" x14ac:dyDescent="0.25">
      <c r="B21" s="119" t="s">
        <v>221</v>
      </c>
      <c r="C21" s="104">
        <f t="shared" ref="C21:I21" si="6">C19+C20</f>
        <v>-34413254</v>
      </c>
      <c r="D21" s="104">
        <f t="shared" si="6"/>
        <v>77515763</v>
      </c>
      <c r="E21" s="104">
        <f t="shared" si="6"/>
        <v>2691909</v>
      </c>
      <c r="F21" s="104">
        <f t="shared" si="6"/>
        <v>-35625741</v>
      </c>
      <c r="G21" s="104">
        <f t="shared" si="6"/>
        <v>105200549</v>
      </c>
      <c r="H21" s="104">
        <f t="shared" si="6"/>
        <v>233444317</v>
      </c>
      <c r="I21" s="120">
        <f t="shared" si="6"/>
        <v>-108127316</v>
      </c>
      <c r="J21" s="120">
        <f>J19+J20</f>
        <v>-29284065.999999993</v>
      </c>
    </row>
    <row r="22" spans="2:10" s="42" customFormat="1" x14ac:dyDescent="0.25">
      <c r="B22" s="121" t="s">
        <v>43</v>
      </c>
      <c r="C22" s="103">
        <v>-289452</v>
      </c>
      <c r="D22" s="103">
        <v>-692696</v>
      </c>
      <c r="E22" s="103">
        <v>4070260</v>
      </c>
      <c r="F22" s="103">
        <v>439752</v>
      </c>
      <c r="G22" s="103">
        <v>-2172110</v>
      </c>
      <c r="H22" s="494">
        <v>-3994835</v>
      </c>
      <c r="I22" s="496">
        <v>2461410</v>
      </c>
      <c r="J22" s="496">
        <v>0</v>
      </c>
    </row>
    <row r="23" spans="2:10" s="42" customFormat="1" x14ac:dyDescent="0.25">
      <c r="B23" s="121" t="s">
        <v>102</v>
      </c>
      <c r="C23" s="103">
        <v>0</v>
      </c>
      <c r="D23" s="103">
        <v>0</v>
      </c>
      <c r="E23" s="103">
        <v>0</v>
      </c>
      <c r="F23" s="103">
        <v>0</v>
      </c>
      <c r="G23" s="103">
        <v>-58985</v>
      </c>
      <c r="H23" s="103">
        <v>-1653</v>
      </c>
      <c r="I23" s="118">
        <v>-2292</v>
      </c>
      <c r="J23" s="118">
        <v>0</v>
      </c>
    </row>
    <row r="24" spans="2:10" s="42" customFormat="1" x14ac:dyDescent="0.25">
      <c r="B24" s="122" t="s">
        <v>103</v>
      </c>
      <c r="C24" s="105">
        <f t="shared" ref="C24:I24" si="7">C22+C23</f>
        <v>-289452</v>
      </c>
      <c r="D24" s="105">
        <f t="shared" si="7"/>
        <v>-692696</v>
      </c>
      <c r="E24" s="105">
        <f t="shared" si="7"/>
        <v>4070260</v>
      </c>
      <c r="F24" s="105">
        <f t="shared" si="7"/>
        <v>439752</v>
      </c>
      <c r="G24" s="105">
        <f t="shared" si="7"/>
        <v>-2231095</v>
      </c>
      <c r="H24" s="105">
        <f t="shared" si="7"/>
        <v>-3996488</v>
      </c>
      <c r="I24" s="123">
        <f t="shared" si="7"/>
        <v>2459118</v>
      </c>
      <c r="J24" s="123">
        <f>J22+J23</f>
        <v>0</v>
      </c>
    </row>
    <row r="25" spans="2:10" s="42" customFormat="1" ht="16.5" thickBot="1" x14ac:dyDescent="0.3">
      <c r="B25" s="124" t="s">
        <v>44</v>
      </c>
      <c r="C25" s="125">
        <f t="shared" ref="C25:I25" si="8">C21+C22+C23</f>
        <v>-34702706</v>
      </c>
      <c r="D25" s="126">
        <f t="shared" si="8"/>
        <v>76823067</v>
      </c>
      <c r="E25" s="126">
        <f t="shared" si="8"/>
        <v>6762169</v>
      </c>
      <c r="F25" s="125">
        <f t="shared" si="8"/>
        <v>-35185989</v>
      </c>
      <c r="G25" s="126">
        <f t="shared" si="8"/>
        <v>102969454</v>
      </c>
      <c r="H25" s="126">
        <f t="shared" si="8"/>
        <v>229447829</v>
      </c>
      <c r="I25" s="127">
        <f t="shared" si="8"/>
        <v>-105668198</v>
      </c>
      <c r="J25" s="127">
        <f>J21+J22+J23</f>
        <v>-29284065.999999993</v>
      </c>
    </row>
    <row r="26" spans="2:10" s="42" customFormat="1" x14ac:dyDescent="0.25"/>
  </sheetData>
  <hyperlinks>
    <hyperlink ref="B1" location="Index!A1" display="Home Index (click here)" xr:uid="{DEA07C77-982C-42D0-BE3C-8881CBFCF779}"/>
  </hyperlinks>
  <pageMargins left="0.28999999999999998" right="0.31" top="0.41" bottom="0.49" header="0.3" footer="0.3"/>
  <pageSetup paperSize="9" orientation="landscape"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58C85B-FEBB-4209-A565-64E802D4DDEB}">
  <sheetPr>
    <pageSetUpPr fitToPage="1"/>
  </sheetPr>
  <dimension ref="B1:P180"/>
  <sheetViews>
    <sheetView zoomScaleNormal="100" workbookViewId="0">
      <pane xSplit="2" ySplit="4" topLeftCell="C5" activePane="bottomRight" state="frozen"/>
      <selection pane="topRight" activeCell="C1" sqref="C1"/>
      <selection pane="bottomLeft" activeCell="A5" sqref="A5"/>
      <selection pane="bottomRight"/>
    </sheetView>
  </sheetViews>
  <sheetFormatPr defaultRowHeight="15" outlineLevelRow="2" outlineLevelCol="1" x14ac:dyDescent="0.25"/>
  <cols>
    <col min="1" max="1" width="2.28515625" style="371" customWidth="1"/>
    <col min="2" max="2" width="47.42578125" style="371" bestFit="1" customWidth="1"/>
    <col min="3" max="3" width="16.85546875" style="371" customWidth="1" outlineLevel="1"/>
    <col min="4" max="7" width="15.7109375" style="371" customWidth="1" outlineLevel="1"/>
    <col min="8" max="8" width="15.7109375" style="371" bestFit="1" customWidth="1" outlineLevel="1"/>
    <col min="9" max="9" width="15.7109375" style="371" customWidth="1"/>
    <col min="10" max="10" width="15.7109375" style="371" bestFit="1" customWidth="1"/>
    <col min="11" max="11" width="15.7109375" style="371" customWidth="1"/>
    <col min="12" max="12" width="15.28515625" style="595" hidden="1" customWidth="1"/>
    <col min="13" max="13" width="18" style="595" hidden="1" customWidth="1"/>
    <col min="14" max="15" width="14.28515625" style="595" hidden="1" customWidth="1"/>
    <col min="16" max="16" width="20.5703125" style="371" hidden="1" customWidth="1"/>
    <col min="17" max="16384" width="9.140625" style="371"/>
  </cols>
  <sheetData>
    <row r="1" spans="2:16" ht="21" thickBot="1" x14ac:dyDescent="0.35">
      <c r="B1" s="132" t="s">
        <v>248</v>
      </c>
      <c r="E1" s="372"/>
      <c r="F1" s="593" t="s">
        <v>571</v>
      </c>
    </row>
    <row r="2" spans="2:16" ht="15.75" x14ac:dyDescent="0.25">
      <c r="B2" s="373" t="s">
        <v>4</v>
      </c>
      <c r="C2" s="374" t="s">
        <v>105</v>
      </c>
      <c r="D2" s="375"/>
      <c r="E2" s="375"/>
      <c r="F2" s="375"/>
      <c r="G2" s="375"/>
      <c r="H2" s="375"/>
      <c r="I2" s="376"/>
      <c r="J2" s="376" t="s">
        <v>680</v>
      </c>
      <c r="K2" s="623"/>
    </row>
    <row r="3" spans="2:16" ht="15.75" x14ac:dyDescent="0.25">
      <c r="B3" s="377" t="s">
        <v>39</v>
      </c>
      <c r="C3" s="378">
        <v>2017</v>
      </c>
      <c r="D3" s="378">
        <f t="shared" ref="D3:J3" si="0">C3+1</f>
        <v>2018</v>
      </c>
      <c r="E3" s="378">
        <f t="shared" si="0"/>
        <v>2019</v>
      </c>
      <c r="F3" s="378">
        <f t="shared" si="0"/>
        <v>2020</v>
      </c>
      <c r="G3" s="378">
        <f t="shared" si="0"/>
        <v>2021</v>
      </c>
      <c r="H3" s="379">
        <f t="shared" si="0"/>
        <v>2022</v>
      </c>
      <c r="I3" s="379">
        <f t="shared" si="0"/>
        <v>2023</v>
      </c>
      <c r="J3" s="379">
        <f t="shared" si="0"/>
        <v>2024</v>
      </c>
      <c r="K3" s="427"/>
    </row>
    <row r="4" spans="2:16" ht="15.75" x14ac:dyDescent="0.25">
      <c r="B4" s="380" t="s">
        <v>0</v>
      </c>
      <c r="C4" s="381">
        <v>618298747</v>
      </c>
      <c r="D4" s="382">
        <v>764562777</v>
      </c>
      <c r="E4" s="382">
        <v>646481189</v>
      </c>
      <c r="F4" s="382">
        <v>563272730</v>
      </c>
      <c r="G4" s="382">
        <v>791000421</v>
      </c>
      <c r="H4" s="381">
        <v>982392366</v>
      </c>
      <c r="I4" s="383">
        <v>657861400</v>
      </c>
      <c r="J4" s="383">
        <f>+' - FS '!J8</f>
        <v>331615280</v>
      </c>
      <c r="K4" s="611"/>
    </row>
    <row r="5" spans="2:16" ht="15.75" x14ac:dyDescent="0.25">
      <c r="B5" s="384"/>
      <c r="C5" s="384"/>
      <c r="D5" s="384"/>
      <c r="E5" s="384"/>
      <c r="F5" s="384"/>
      <c r="G5" s="384"/>
      <c r="H5" s="384"/>
      <c r="I5" s="384"/>
      <c r="J5" s="384"/>
      <c r="K5" s="411"/>
      <c r="L5" s="595" t="s">
        <v>690</v>
      </c>
      <c r="M5" s="595" t="s">
        <v>691</v>
      </c>
      <c r="N5" s="595" t="s">
        <v>692</v>
      </c>
      <c r="O5" s="595" t="s">
        <v>693</v>
      </c>
      <c r="P5" s="594" t="s">
        <v>369</v>
      </c>
    </row>
    <row r="6" spans="2:16" ht="15.75" outlineLevel="1" x14ac:dyDescent="0.25">
      <c r="B6" s="385" t="s">
        <v>407</v>
      </c>
      <c r="C6" s="386">
        <v>-409099826</v>
      </c>
      <c r="D6" s="386">
        <v>-424278664</v>
      </c>
      <c r="E6" s="386">
        <v>-399097008</v>
      </c>
      <c r="F6" s="387">
        <v>-317207599</v>
      </c>
      <c r="G6" s="387">
        <v>-386398583</v>
      </c>
      <c r="H6" s="386">
        <v>-354561550</v>
      </c>
      <c r="I6" s="387">
        <v>-327326709.68000001</v>
      </c>
      <c r="J6" s="387">
        <f>-(194476274.38+58056479.43+761600.14-97099673)</f>
        <v>-156194680.94999999</v>
      </c>
      <c r="K6" s="624"/>
      <c r="L6" s="605">
        <f>175411510.19+19064764.19</f>
        <v>194476274.38</v>
      </c>
      <c r="M6" s="605">
        <v>58056479.43</v>
      </c>
      <c r="N6" s="605">
        <v>684910.33</v>
      </c>
      <c r="O6" s="605">
        <v>-97099673</v>
      </c>
      <c r="P6" s="600">
        <f t="shared" ref="P6:P14" si="1">SUM(L6:O6)</f>
        <v>156117991.14000002</v>
      </c>
    </row>
    <row r="7" spans="2:16" ht="15.75" outlineLevel="1" x14ac:dyDescent="0.25">
      <c r="B7" s="385" t="s">
        <v>408</v>
      </c>
      <c r="C7" s="388">
        <v>0</v>
      </c>
      <c r="D7" s="388">
        <v>0</v>
      </c>
      <c r="E7" s="388">
        <v>0</v>
      </c>
      <c r="F7" s="387">
        <v>-45077162</v>
      </c>
      <c r="G7" s="387">
        <v>-45644119</v>
      </c>
      <c r="H7" s="389">
        <v>-93452426</v>
      </c>
      <c r="I7" s="386">
        <v>-106402786.66</v>
      </c>
      <c r="J7" s="386">
        <f>-(26238777.43+10967103.39+14601683.07)</f>
        <v>-51807563.890000001</v>
      </c>
      <c r="K7" s="624"/>
      <c r="L7" s="605">
        <v>26238777.43</v>
      </c>
      <c r="M7" s="605">
        <v>10967103.390000001</v>
      </c>
      <c r="N7" s="605">
        <v>14601683.07</v>
      </c>
      <c r="O7" s="605"/>
      <c r="P7" s="600">
        <f t="shared" si="1"/>
        <v>51807563.890000001</v>
      </c>
    </row>
    <row r="8" spans="2:16" ht="15.75" outlineLevel="1" x14ac:dyDescent="0.25">
      <c r="B8" s="385" t="s">
        <v>409</v>
      </c>
      <c r="C8" s="387">
        <v>-68619609</v>
      </c>
      <c r="D8" s="387">
        <v>-72420094</v>
      </c>
      <c r="E8" s="387">
        <v>-69797021</v>
      </c>
      <c r="F8" s="387">
        <v>-68649886</v>
      </c>
      <c r="G8" s="387">
        <v>-75773189</v>
      </c>
      <c r="H8" s="387">
        <v>-107032457</v>
      </c>
      <c r="I8" s="387">
        <v>-91672766.239999995</v>
      </c>
      <c r="J8" s="387">
        <f>-48837039.72</f>
        <v>-48837039.719999999</v>
      </c>
      <c r="K8" s="624"/>
      <c r="L8" s="605">
        <v>44462881.590000004</v>
      </c>
      <c r="M8" s="605">
        <v>4374158.13</v>
      </c>
      <c r="N8" s="595">
        <v>0</v>
      </c>
      <c r="P8" s="600">
        <f t="shared" si="1"/>
        <v>48837039.720000006</v>
      </c>
    </row>
    <row r="9" spans="2:16" ht="15.75" outlineLevel="1" x14ac:dyDescent="0.25">
      <c r="B9" s="385" t="s">
        <v>410</v>
      </c>
      <c r="C9" s="387">
        <v>-71624502</v>
      </c>
      <c r="D9" s="387">
        <v>-72575327</v>
      </c>
      <c r="E9" s="387">
        <v>-74321399</v>
      </c>
      <c r="F9" s="387">
        <v>-70729469</v>
      </c>
      <c r="G9" s="387">
        <f>-69515048-2715717</f>
        <v>-72230765</v>
      </c>
      <c r="H9" s="387">
        <f>-66790323-3647404</f>
        <v>-70437727</v>
      </c>
      <c r="I9" s="387">
        <f>-(66872052+3888711)</f>
        <v>-70760763</v>
      </c>
      <c r="J9" s="387">
        <v>-35826570.869999997</v>
      </c>
      <c r="K9" s="624"/>
      <c r="L9" s="605">
        <v>32487182.949999999</v>
      </c>
      <c r="M9" s="605">
        <v>3246710.87</v>
      </c>
      <c r="N9" s="605">
        <v>92677.05</v>
      </c>
      <c r="P9" s="600">
        <f t="shared" si="1"/>
        <v>35826570.869999997</v>
      </c>
    </row>
    <row r="10" spans="2:16" ht="15.75" outlineLevel="1" x14ac:dyDescent="0.25">
      <c r="B10" s="385" t="s">
        <v>411</v>
      </c>
      <c r="C10" s="387">
        <v>-10250446</v>
      </c>
      <c r="D10" s="387">
        <v>-9903922</v>
      </c>
      <c r="E10" s="387">
        <v>-453809</v>
      </c>
      <c r="F10" s="387">
        <v>-649940</v>
      </c>
      <c r="G10" s="387">
        <v>-699962</v>
      </c>
      <c r="H10" s="387">
        <v>-745515</v>
      </c>
      <c r="I10" s="387">
        <v>0</v>
      </c>
      <c r="J10" s="387">
        <v>-432211</v>
      </c>
      <c r="K10" s="624"/>
      <c r="L10" s="605">
        <v>280701.21000000002</v>
      </c>
      <c r="M10" s="605">
        <v>151509.93</v>
      </c>
      <c r="N10" s="605">
        <v>47341.32</v>
      </c>
      <c r="O10" s="605"/>
      <c r="P10" s="600">
        <f t="shared" si="1"/>
        <v>479552.46</v>
      </c>
    </row>
    <row r="11" spans="2:16" ht="15.75" outlineLevel="1" x14ac:dyDescent="0.25">
      <c r="B11" s="385" t="s">
        <v>412</v>
      </c>
      <c r="C11" s="390">
        <v>0</v>
      </c>
      <c r="D11" s="390">
        <v>0</v>
      </c>
      <c r="E11" s="387">
        <v>-1434604</v>
      </c>
      <c r="F11" s="387">
        <v>-1840000</v>
      </c>
      <c r="G11" s="386">
        <v>-458981</v>
      </c>
      <c r="H11" s="390">
        <v>0</v>
      </c>
      <c r="I11" s="390">
        <v>0</v>
      </c>
      <c r="J11" s="390"/>
      <c r="K11" s="609"/>
      <c r="P11" s="600">
        <f t="shared" si="1"/>
        <v>0</v>
      </c>
    </row>
    <row r="12" spans="2:16" ht="15.75" outlineLevel="1" x14ac:dyDescent="0.25">
      <c r="B12" s="385" t="s">
        <v>413</v>
      </c>
      <c r="C12" s="387">
        <v>-7699268</v>
      </c>
      <c r="D12" s="387">
        <v>-3136134</v>
      </c>
      <c r="E12" s="387">
        <v>-265576</v>
      </c>
      <c r="F12" s="387">
        <v>-83742</v>
      </c>
      <c r="G12" s="386">
        <v>-85641</v>
      </c>
      <c r="H12" s="390">
        <v>0</v>
      </c>
      <c r="I12" s="387">
        <v>0</v>
      </c>
      <c r="J12" s="387">
        <v>-260870.27</v>
      </c>
      <c r="K12" s="624"/>
      <c r="L12" s="597"/>
      <c r="M12" s="605">
        <v>260870.27</v>
      </c>
      <c r="P12" s="600">
        <f t="shared" si="1"/>
        <v>260870.27</v>
      </c>
    </row>
    <row r="13" spans="2:16" ht="15.75" outlineLevel="1" x14ac:dyDescent="0.25">
      <c r="B13" s="385" t="s">
        <v>414</v>
      </c>
      <c r="C13" s="388">
        <v>0</v>
      </c>
      <c r="D13" s="388">
        <v>0</v>
      </c>
      <c r="E13" s="388">
        <v>0</v>
      </c>
      <c r="F13" s="388">
        <v>0</v>
      </c>
      <c r="G13" s="387">
        <v>-10341034</v>
      </c>
      <c r="H13" s="388">
        <v>0</v>
      </c>
      <c r="I13" s="390">
        <v>0</v>
      </c>
      <c r="J13" s="390"/>
      <c r="K13" s="609"/>
      <c r="L13" s="597"/>
      <c r="P13" s="600">
        <f t="shared" si="1"/>
        <v>0</v>
      </c>
    </row>
    <row r="14" spans="2:16" ht="15.75" outlineLevel="1" x14ac:dyDescent="0.25">
      <c r="B14" s="391" t="s">
        <v>415</v>
      </c>
      <c r="C14" s="392">
        <v>-24670981</v>
      </c>
      <c r="D14" s="392">
        <v>-16463207</v>
      </c>
      <c r="E14" s="392">
        <v>-4104651</v>
      </c>
      <c r="F14" s="392">
        <v>-4791891</v>
      </c>
      <c r="G14" s="392">
        <v>-5774235</v>
      </c>
      <c r="H14" s="392">
        <v>-7966056</v>
      </c>
      <c r="I14" s="392">
        <v>-17614190</v>
      </c>
      <c r="J14" s="392">
        <v>-4242820.29</v>
      </c>
      <c r="K14" s="624"/>
      <c r="L14" s="622">
        <v>1250423.5900000001</v>
      </c>
      <c r="M14" s="605">
        <v>2992396.7</v>
      </c>
      <c r="N14" s="605">
        <v>29348.49</v>
      </c>
      <c r="O14" s="605"/>
      <c r="P14" s="600">
        <f t="shared" si="1"/>
        <v>4272168.78</v>
      </c>
    </row>
    <row r="15" spans="2:16" ht="15.75" x14ac:dyDescent="0.25">
      <c r="B15" s="380" t="s">
        <v>40</v>
      </c>
      <c r="C15" s="393">
        <f t="shared" ref="C15:H15" si="2">SUM(C6:C14)</f>
        <v>-591964632</v>
      </c>
      <c r="D15" s="393">
        <f t="shared" si="2"/>
        <v>-598777348</v>
      </c>
      <c r="E15" s="393">
        <f t="shared" si="2"/>
        <v>-549474068</v>
      </c>
      <c r="F15" s="393">
        <f t="shared" si="2"/>
        <v>-509029689</v>
      </c>
      <c r="G15" s="393">
        <f t="shared" si="2"/>
        <v>-597406509</v>
      </c>
      <c r="H15" s="393">
        <f t="shared" si="2"/>
        <v>-634195731</v>
      </c>
      <c r="I15" s="393">
        <f>SUM(I6:I14)</f>
        <v>-613777215.58000004</v>
      </c>
      <c r="J15" s="393">
        <f>SUM(J6:J14)</f>
        <v>-297601756.98999995</v>
      </c>
      <c r="K15" s="625"/>
      <c r="L15" s="602">
        <f>SUM(L6:L14)</f>
        <v>299196241.14999998</v>
      </c>
      <c r="M15" s="602">
        <f>SUM(M6:M14)</f>
        <v>80049228.719999999</v>
      </c>
      <c r="N15" s="602">
        <f>SUM(N6:N14)</f>
        <v>15455960.260000002</v>
      </c>
      <c r="O15" s="603"/>
      <c r="P15" s="604"/>
    </row>
    <row r="16" spans="2:16" ht="15.75" x14ac:dyDescent="0.25">
      <c r="B16" s="380"/>
      <c r="C16" s="393"/>
      <c r="D16" s="393"/>
      <c r="E16" s="393"/>
      <c r="F16" s="393"/>
      <c r="G16" s="393"/>
      <c r="H16" s="393"/>
      <c r="I16" s="393"/>
      <c r="J16" s="393"/>
      <c r="K16" s="626"/>
      <c r="L16" s="595">
        <v>297601757</v>
      </c>
      <c r="P16" s="600">
        <f>SUM(P6:P14)</f>
        <v>297601757.12999994</v>
      </c>
    </row>
    <row r="17" spans="2:16" ht="15.75" x14ac:dyDescent="0.25">
      <c r="B17" s="394" t="s">
        <v>1</v>
      </c>
      <c r="C17" s="395">
        <f t="shared" ref="C17:I17" si="3">C4+C15</f>
        <v>26334115</v>
      </c>
      <c r="D17" s="395">
        <f t="shared" si="3"/>
        <v>165785429</v>
      </c>
      <c r="E17" s="395">
        <f t="shared" si="3"/>
        <v>97007121</v>
      </c>
      <c r="F17" s="395">
        <f t="shared" si="3"/>
        <v>54243041</v>
      </c>
      <c r="G17" s="395">
        <f t="shared" si="3"/>
        <v>193593912</v>
      </c>
      <c r="H17" s="395">
        <f t="shared" si="3"/>
        <v>348196635</v>
      </c>
      <c r="I17" s="395">
        <f t="shared" si="3"/>
        <v>44084184.419999957</v>
      </c>
      <c r="J17" s="395">
        <f>J4+J15</f>
        <v>34013523.01000005</v>
      </c>
      <c r="K17" s="611"/>
      <c r="L17" s="597"/>
      <c r="P17" s="601">
        <f>P16-L16</f>
        <v>0.12999993562698364</v>
      </c>
    </row>
    <row r="18" spans="2:16" ht="15.75" x14ac:dyDescent="0.25">
      <c r="B18" s="396"/>
      <c r="C18" s="381"/>
      <c r="D18" s="397"/>
      <c r="E18" s="397"/>
      <c r="F18" s="397"/>
      <c r="G18" s="397"/>
      <c r="H18" s="381"/>
      <c r="I18" s="381"/>
      <c r="J18" s="381"/>
      <c r="K18" s="611"/>
      <c r="L18" s="597"/>
    </row>
    <row r="19" spans="2:16" ht="15.75" outlineLevel="2" x14ac:dyDescent="0.25">
      <c r="B19" s="398" t="s">
        <v>416</v>
      </c>
      <c r="C19" s="387">
        <v>-23580455</v>
      </c>
      <c r="D19" s="387">
        <v>-21875069</v>
      </c>
      <c r="E19" s="387">
        <v>-21711452</v>
      </c>
      <c r="F19" s="387">
        <v>-21106903</v>
      </c>
      <c r="G19" s="387">
        <v>-23457728</v>
      </c>
      <c r="H19" s="387">
        <v>-30198680</v>
      </c>
      <c r="I19" s="386">
        <v>-33169213</v>
      </c>
      <c r="J19" s="387">
        <v>-15953920</v>
      </c>
      <c r="K19" s="624"/>
      <c r="L19" s="597"/>
    </row>
    <row r="20" spans="2:16" ht="15.75" outlineLevel="2" x14ac:dyDescent="0.25">
      <c r="B20" s="398" t="s">
        <v>417</v>
      </c>
      <c r="C20" s="387">
        <v>-925609</v>
      </c>
      <c r="D20" s="387">
        <v>-524819</v>
      </c>
      <c r="E20" s="387">
        <v>-789561</v>
      </c>
      <c r="F20" s="387">
        <v>-526840</v>
      </c>
      <c r="G20" s="387">
        <f>-528029-500808</f>
        <v>-1028837</v>
      </c>
      <c r="H20" s="387">
        <f>-405894-514813</f>
        <v>-920707</v>
      </c>
      <c r="I20" s="387">
        <f>-949005-76105</f>
        <v>-1025110</v>
      </c>
      <c r="J20" s="387">
        <f>-(520958+177354)</f>
        <v>-698312</v>
      </c>
      <c r="K20" s="624"/>
      <c r="L20" s="597"/>
    </row>
    <row r="21" spans="2:16" ht="15.75" outlineLevel="2" x14ac:dyDescent="0.25">
      <c r="B21" s="398" t="s">
        <v>418</v>
      </c>
      <c r="C21" s="387">
        <v>-909126</v>
      </c>
      <c r="D21" s="387">
        <v>-484633</v>
      </c>
      <c r="E21" s="387">
        <v>-442961</v>
      </c>
      <c r="F21" s="387">
        <v>-276205</v>
      </c>
      <c r="G21" s="387">
        <v>-149602</v>
      </c>
      <c r="H21" s="387">
        <v>-168614</v>
      </c>
      <c r="I21" s="387">
        <v>-213104</v>
      </c>
      <c r="J21" s="387">
        <v>-87144</v>
      </c>
      <c r="K21" s="624"/>
      <c r="L21" s="597"/>
    </row>
    <row r="22" spans="2:16" ht="15.75" outlineLevel="2" x14ac:dyDescent="0.25">
      <c r="B22" s="398" t="s">
        <v>419</v>
      </c>
      <c r="C22" s="387">
        <v>-653658</v>
      </c>
      <c r="D22" s="387">
        <v>-849916</v>
      </c>
      <c r="E22" s="387">
        <v>-597276</v>
      </c>
      <c r="F22" s="399">
        <v>-355593</v>
      </c>
      <c r="G22" s="386">
        <v>-234516</v>
      </c>
      <c r="H22" s="400">
        <v>0</v>
      </c>
      <c r="I22" s="387">
        <v>0</v>
      </c>
      <c r="J22" s="387">
        <v>-154294</v>
      </c>
      <c r="K22" s="624"/>
      <c r="L22" s="597"/>
    </row>
    <row r="23" spans="2:16" ht="15.75" outlineLevel="2" x14ac:dyDescent="0.25">
      <c r="B23" s="398" t="s">
        <v>411</v>
      </c>
      <c r="C23" s="387">
        <v>-87164</v>
      </c>
      <c r="D23" s="387">
        <v>-205543</v>
      </c>
      <c r="E23" s="387">
        <v>-8899245</v>
      </c>
      <c r="F23" s="387">
        <v>-13778163</v>
      </c>
      <c r="G23" s="387">
        <v>-19504947</v>
      </c>
      <c r="H23" s="387">
        <v>-22302060</v>
      </c>
      <c r="I23" s="387">
        <v>-22922780</v>
      </c>
      <c r="J23" s="387">
        <v>-11080948</v>
      </c>
      <c r="K23" s="624"/>
      <c r="L23" s="597"/>
    </row>
    <row r="24" spans="2:16" ht="15.75" outlineLevel="2" x14ac:dyDescent="0.25">
      <c r="B24" s="398" t="s">
        <v>420</v>
      </c>
      <c r="C24" s="387">
        <v>-515715</v>
      </c>
      <c r="D24" s="387">
        <v>-1929860</v>
      </c>
      <c r="E24" s="387">
        <v>-1205740</v>
      </c>
      <c r="F24" s="387">
        <v>-975848</v>
      </c>
      <c r="G24" s="387">
        <v>-695162</v>
      </c>
      <c r="H24" s="387">
        <v>-1086739</v>
      </c>
      <c r="I24" s="387">
        <v>-5920526</v>
      </c>
      <c r="J24" s="387">
        <v>-1291348</v>
      </c>
      <c r="K24" s="624"/>
    </row>
    <row r="25" spans="2:16" ht="15.75" outlineLevel="2" x14ac:dyDescent="0.25">
      <c r="B25" s="398" t="s">
        <v>572</v>
      </c>
      <c r="C25" s="387"/>
      <c r="D25" s="387"/>
      <c r="E25" s="387"/>
      <c r="F25" s="387"/>
      <c r="G25" s="387"/>
      <c r="H25" s="387"/>
      <c r="I25" s="387">
        <v>-5450000</v>
      </c>
      <c r="J25" s="387"/>
      <c r="K25" s="624"/>
    </row>
    <row r="26" spans="2:16" ht="15.75" outlineLevel="2" x14ac:dyDescent="0.25">
      <c r="B26" s="401" t="s">
        <v>421</v>
      </c>
      <c r="C26" s="392">
        <v>-3222313</v>
      </c>
      <c r="D26" s="392">
        <v>-4775525</v>
      </c>
      <c r="E26" s="392">
        <v>-2246120</v>
      </c>
      <c r="F26" s="392">
        <v>-2276299</v>
      </c>
      <c r="G26" s="392">
        <v>-3082769</v>
      </c>
      <c r="H26" s="436">
        <v>-5682113</v>
      </c>
      <c r="I26" s="436">
        <v>-6888681</v>
      </c>
      <c r="J26" s="436">
        <v>-2466858</v>
      </c>
      <c r="K26" s="624"/>
    </row>
    <row r="27" spans="2:16" ht="15.75" x14ac:dyDescent="0.25">
      <c r="B27" s="380" t="s">
        <v>42</v>
      </c>
      <c r="C27" s="393">
        <f t="shared" ref="C27:I27" si="4">SUM(C19:C26)</f>
        <v>-29894040</v>
      </c>
      <c r="D27" s="393">
        <f t="shared" si="4"/>
        <v>-30645365</v>
      </c>
      <c r="E27" s="393">
        <f t="shared" si="4"/>
        <v>-35892355</v>
      </c>
      <c r="F27" s="393">
        <f t="shared" si="4"/>
        <v>-39295851</v>
      </c>
      <c r="G27" s="393">
        <f t="shared" si="4"/>
        <v>-48153561</v>
      </c>
      <c r="H27" s="393">
        <f t="shared" si="4"/>
        <v>-60358913</v>
      </c>
      <c r="I27" s="393">
        <f t="shared" si="4"/>
        <v>-75589414</v>
      </c>
      <c r="J27" s="393">
        <f>SUM(J19:J26)</f>
        <v>-31732824</v>
      </c>
      <c r="K27" s="626"/>
    </row>
    <row r="28" spans="2:16" ht="15.75" x14ac:dyDescent="0.25">
      <c r="B28" s="380"/>
      <c r="C28" s="393"/>
      <c r="D28" s="393"/>
      <c r="E28" s="393"/>
      <c r="F28" s="393"/>
      <c r="G28" s="393"/>
      <c r="H28" s="393"/>
      <c r="I28" s="393"/>
      <c r="J28" s="393"/>
      <c r="K28" s="626"/>
    </row>
    <row r="29" spans="2:16" ht="15.75" outlineLevel="1" x14ac:dyDescent="0.25">
      <c r="B29" s="385" t="s">
        <v>416</v>
      </c>
      <c r="C29" s="387">
        <v>-5609839</v>
      </c>
      <c r="D29" s="387">
        <v>-5881479</v>
      </c>
      <c r="E29" s="387">
        <v>-5427842</v>
      </c>
      <c r="F29" s="387">
        <v>-4945081</v>
      </c>
      <c r="G29" s="387">
        <v>-5192534</v>
      </c>
      <c r="H29" s="387">
        <v>-6111520</v>
      </c>
      <c r="I29" s="387">
        <v>-6364267</v>
      </c>
      <c r="J29" s="387">
        <v>-2960215</v>
      </c>
      <c r="K29" s="624"/>
    </row>
    <row r="30" spans="2:16" ht="15.75" outlineLevel="1" x14ac:dyDescent="0.25">
      <c r="B30" s="385" t="s">
        <v>422</v>
      </c>
      <c r="C30" s="387">
        <v>-19071506</v>
      </c>
      <c r="D30" s="387">
        <v>-18285066</v>
      </c>
      <c r="E30" s="387">
        <v>-19539173</v>
      </c>
      <c r="F30" s="387">
        <v>-20559118</v>
      </c>
      <c r="G30" s="387">
        <v>-17059616</v>
      </c>
      <c r="H30" s="386">
        <v>-19467577</v>
      </c>
      <c r="I30" s="386">
        <v>-29373622</v>
      </c>
      <c r="J30" s="387">
        <v>-12780335</v>
      </c>
      <c r="K30" s="624"/>
    </row>
    <row r="31" spans="2:16" ht="15.75" outlineLevel="1" x14ac:dyDescent="0.25">
      <c r="B31" s="385" t="s">
        <v>423</v>
      </c>
      <c r="C31" s="387">
        <v>-30721</v>
      </c>
      <c r="D31" s="387">
        <v>-21000</v>
      </c>
      <c r="E31" s="387">
        <v>-12494</v>
      </c>
      <c r="F31" s="387">
        <v>-6594</v>
      </c>
      <c r="G31" s="387">
        <v>-2956</v>
      </c>
      <c r="H31" s="387">
        <v>-2039</v>
      </c>
      <c r="I31" s="387">
        <v>-278</v>
      </c>
      <c r="J31" s="387">
        <v>-138</v>
      </c>
      <c r="K31" s="624"/>
    </row>
    <row r="32" spans="2:16" ht="15.75" outlineLevel="1" x14ac:dyDescent="0.25">
      <c r="B32" s="385" t="s">
        <v>424</v>
      </c>
      <c r="C32" s="390">
        <v>0</v>
      </c>
      <c r="D32" s="387">
        <v>-2491709</v>
      </c>
      <c r="E32" s="387">
        <v>-1997470</v>
      </c>
      <c r="F32" s="387">
        <v>-1500000</v>
      </c>
      <c r="G32" s="390">
        <v>0</v>
      </c>
      <c r="H32" s="390">
        <v>0</v>
      </c>
      <c r="I32" s="444">
        <v>-6000000</v>
      </c>
      <c r="J32" s="444"/>
      <c r="K32" s="606"/>
    </row>
    <row r="33" spans="2:11" ht="15.75" outlineLevel="1" x14ac:dyDescent="0.25">
      <c r="B33" s="391" t="s">
        <v>415</v>
      </c>
      <c r="C33" s="392">
        <v>-1009692</v>
      </c>
      <c r="D33" s="392">
        <v>-738687</v>
      </c>
      <c r="E33" s="392">
        <v>-895364</v>
      </c>
      <c r="F33" s="392">
        <v>-1395340</v>
      </c>
      <c r="G33" s="392">
        <v>-1197063</v>
      </c>
      <c r="H33" s="392">
        <v>-1861889</v>
      </c>
      <c r="I33" s="392">
        <v>-2215610</v>
      </c>
      <c r="J33" s="392">
        <v>-643350</v>
      </c>
      <c r="K33" s="624"/>
    </row>
    <row r="34" spans="2:11" ht="15.75" x14ac:dyDescent="0.25">
      <c r="B34" s="380" t="s">
        <v>98</v>
      </c>
      <c r="C34" s="393">
        <f t="shared" ref="C34:I34" si="5">SUM(C29:C33)</f>
        <v>-25721758</v>
      </c>
      <c r="D34" s="393">
        <f t="shared" si="5"/>
        <v>-27417941</v>
      </c>
      <c r="E34" s="393">
        <f t="shared" si="5"/>
        <v>-27872343</v>
      </c>
      <c r="F34" s="393">
        <f t="shared" si="5"/>
        <v>-28406133</v>
      </c>
      <c r="G34" s="393">
        <f t="shared" si="5"/>
        <v>-23452169</v>
      </c>
      <c r="H34" s="393">
        <f t="shared" si="5"/>
        <v>-27443025</v>
      </c>
      <c r="I34" s="393">
        <f t="shared" si="5"/>
        <v>-43953777</v>
      </c>
      <c r="J34" s="393">
        <f>SUM(J29:J33)</f>
        <v>-16384038</v>
      </c>
      <c r="K34" s="626"/>
    </row>
    <row r="35" spans="2:11" ht="15.75" x14ac:dyDescent="0.25">
      <c r="B35" s="380"/>
      <c r="C35" s="393"/>
      <c r="D35" s="393"/>
      <c r="E35" s="393"/>
      <c r="F35" s="393"/>
      <c r="G35" s="393"/>
      <c r="H35" s="393"/>
      <c r="I35" s="393"/>
      <c r="J35" s="393"/>
      <c r="K35" s="626"/>
    </row>
    <row r="36" spans="2:11" ht="15.75" x14ac:dyDescent="0.25">
      <c r="B36" s="394" t="s">
        <v>2</v>
      </c>
      <c r="C36" s="402">
        <f t="shared" ref="C36:I36" si="6">C17+C27+C34</f>
        <v>-29281683</v>
      </c>
      <c r="D36" s="403">
        <f t="shared" si="6"/>
        <v>107722123</v>
      </c>
      <c r="E36" s="403">
        <f t="shared" si="6"/>
        <v>33242423</v>
      </c>
      <c r="F36" s="402">
        <f t="shared" si="6"/>
        <v>-13458943</v>
      </c>
      <c r="G36" s="403">
        <f t="shared" si="6"/>
        <v>121988182</v>
      </c>
      <c r="H36" s="395">
        <f t="shared" si="6"/>
        <v>260394697</v>
      </c>
      <c r="I36" s="502">
        <f t="shared" si="6"/>
        <v>-75459006.580000043</v>
      </c>
      <c r="J36" s="502">
        <f>J17+J27+J34</f>
        <v>-14103338.98999995</v>
      </c>
      <c r="K36" s="607"/>
    </row>
    <row r="37" spans="2:11" ht="15.75" x14ac:dyDescent="0.25">
      <c r="B37" s="396"/>
      <c r="C37" s="404"/>
      <c r="D37" s="397"/>
      <c r="E37" s="397"/>
      <c r="F37" s="404"/>
      <c r="G37" s="397"/>
      <c r="H37" s="381"/>
      <c r="I37" s="503"/>
      <c r="J37" s="503"/>
      <c r="K37" s="607"/>
    </row>
    <row r="38" spans="2:11" ht="15.75" x14ac:dyDescent="0.25">
      <c r="B38" s="385" t="s">
        <v>104</v>
      </c>
      <c r="C38" s="405">
        <v>2156928</v>
      </c>
      <c r="D38" s="405">
        <v>2275264</v>
      </c>
      <c r="E38" s="405">
        <v>2840173</v>
      </c>
      <c r="F38" s="405">
        <v>3145704</v>
      </c>
      <c r="G38" s="405">
        <v>2956531</v>
      </c>
      <c r="H38" s="405">
        <v>2843014</v>
      </c>
      <c r="I38" s="444">
        <v>2978122</v>
      </c>
      <c r="J38" s="444">
        <v>837337</v>
      </c>
      <c r="K38" s="606"/>
    </row>
    <row r="39" spans="2:11" ht="15.75" x14ac:dyDescent="0.25">
      <c r="B39" s="385"/>
      <c r="C39" s="405"/>
      <c r="D39" s="405"/>
      <c r="E39" s="405"/>
      <c r="F39" s="405"/>
      <c r="G39" s="405"/>
      <c r="H39" s="405"/>
      <c r="I39" s="444"/>
      <c r="J39" s="444"/>
      <c r="K39" s="606"/>
    </row>
    <row r="40" spans="2:11" ht="15.75" x14ac:dyDescent="0.25">
      <c r="B40" s="385" t="s">
        <v>575</v>
      </c>
      <c r="C40" s="405">
        <v>-1200000</v>
      </c>
      <c r="D40" s="405">
        <v>0</v>
      </c>
      <c r="E40" s="405">
        <v>0</v>
      </c>
      <c r="F40" s="405">
        <v>0</v>
      </c>
      <c r="G40" s="405">
        <v>2344487</v>
      </c>
      <c r="H40" s="405">
        <v>0</v>
      </c>
      <c r="I40" s="444">
        <v>-3100</v>
      </c>
      <c r="J40" s="444">
        <v>0</v>
      </c>
      <c r="K40" s="606"/>
    </row>
    <row r="41" spans="2:11" ht="15.75" outlineLevel="1" x14ac:dyDescent="0.25">
      <c r="B41" s="385" t="s">
        <v>425</v>
      </c>
      <c r="C41" s="405">
        <v>0</v>
      </c>
      <c r="D41" s="405">
        <v>0</v>
      </c>
      <c r="E41" s="405">
        <v>-180150</v>
      </c>
      <c r="F41" s="405">
        <v>-897475</v>
      </c>
      <c r="G41" s="405">
        <v>-1366450</v>
      </c>
      <c r="H41" s="406">
        <v>-1191470</v>
      </c>
      <c r="I41" s="444">
        <v>-1676228</v>
      </c>
      <c r="J41" s="444">
        <v>-867725</v>
      </c>
      <c r="K41" s="606"/>
    </row>
    <row r="42" spans="2:11" ht="16.5" customHeight="1" outlineLevel="1" x14ac:dyDescent="0.25">
      <c r="B42" s="385" t="s">
        <v>574</v>
      </c>
      <c r="C42" s="405">
        <v>133429</v>
      </c>
      <c r="D42" s="405">
        <v>70491</v>
      </c>
      <c r="E42" s="405">
        <v>0</v>
      </c>
      <c r="F42" s="405">
        <v>108749</v>
      </c>
      <c r="G42" s="405">
        <f>5000-91382</f>
        <v>-86382</v>
      </c>
      <c r="H42" s="406">
        <v>0</v>
      </c>
      <c r="I42" s="389">
        <v>-979493</v>
      </c>
      <c r="J42" s="444">
        <v>0</v>
      </c>
      <c r="K42" s="606"/>
    </row>
    <row r="43" spans="2:11" ht="16.5" customHeight="1" outlineLevel="1" x14ac:dyDescent="0.25">
      <c r="B43" s="385" t="s">
        <v>426</v>
      </c>
      <c r="C43" s="405">
        <v>26460224</v>
      </c>
      <c r="D43" s="405">
        <v>0</v>
      </c>
      <c r="E43" s="405">
        <v>0</v>
      </c>
      <c r="F43" s="405">
        <v>0</v>
      </c>
      <c r="G43" s="386">
        <v>25383</v>
      </c>
      <c r="H43" s="406">
        <v>0</v>
      </c>
      <c r="I43" s="188">
        <v>0</v>
      </c>
      <c r="J43" s="188">
        <v>0</v>
      </c>
      <c r="K43" s="272"/>
    </row>
    <row r="44" spans="2:11" ht="15.75" outlineLevel="1" x14ac:dyDescent="0.25">
      <c r="B44" s="385" t="s">
        <v>694</v>
      </c>
      <c r="C44" s="405">
        <v>0</v>
      </c>
      <c r="D44" s="405">
        <v>0</v>
      </c>
      <c r="E44" s="405">
        <v>1168017</v>
      </c>
      <c r="F44" s="405">
        <v>1079300</v>
      </c>
      <c r="G44" s="405">
        <v>1999672</v>
      </c>
      <c r="H44" s="406">
        <v>1048384</v>
      </c>
      <c r="I44" s="188">
        <v>1522366</v>
      </c>
      <c r="J44" s="188">
        <v>252478</v>
      </c>
      <c r="K44" s="272"/>
    </row>
    <row r="45" spans="2:11" ht="15.75" outlineLevel="1" x14ac:dyDescent="0.25">
      <c r="B45" s="385" t="s">
        <v>427</v>
      </c>
      <c r="C45" s="405">
        <v>624021</v>
      </c>
      <c r="D45" s="405">
        <v>417030</v>
      </c>
      <c r="E45" s="405">
        <v>152000</v>
      </c>
      <c r="F45" s="405">
        <v>61600</v>
      </c>
      <c r="G45" s="405">
        <v>244260</v>
      </c>
      <c r="H45" s="407">
        <v>191370</v>
      </c>
      <c r="I45" s="514">
        <v>0</v>
      </c>
      <c r="J45" s="188">
        <v>563630</v>
      </c>
      <c r="K45" s="272"/>
    </row>
    <row r="46" spans="2:11" ht="15.75" outlineLevel="1" x14ac:dyDescent="0.25">
      <c r="B46" s="391" t="s">
        <v>573</v>
      </c>
      <c r="C46" s="408">
        <v>127166</v>
      </c>
      <c r="D46" s="408">
        <v>885331</v>
      </c>
      <c r="E46" s="408">
        <f>132068+351976</f>
        <v>484044</v>
      </c>
      <c r="F46" s="408">
        <f>342234+16447+158434</f>
        <v>517115</v>
      </c>
      <c r="G46" s="408">
        <v>331171</v>
      </c>
      <c r="H46" s="409">
        <v>738489</v>
      </c>
      <c r="I46" s="512">
        <f>276855+130852+8383</f>
        <v>416090</v>
      </c>
      <c r="J46" s="512">
        <f>682049-280</f>
        <v>681769</v>
      </c>
      <c r="K46" s="272"/>
    </row>
    <row r="47" spans="2:11" ht="15.75" x14ac:dyDescent="0.25">
      <c r="B47" s="380" t="s">
        <v>100</v>
      </c>
      <c r="C47" s="410">
        <f t="shared" ref="C47:H47" si="7">SUM(C38:C46)</f>
        <v>28301768</v>
      </c>
      <c r="D47" s="410">
        <f t="shared" si="7"/>
        <v>3648116</v>
      </c>
      <c r="E47" s="410">
        <f t="shared" si="7"/>
        <v>4464084</v>
      </c>
      <c r="F47" s="410">
        <f t="shared" si="7"/>
        <v>4014993</v>
      </c>
      <c r="G47" s="410">
        <f t="shared" si="7"/>
        <v>6448672</v>
      </c>
      <c r="H47" s="410">
        <f t="shared" si="7"/>
        <v>3629787</v>
      </c>
      <c r="I47" s="443">
        <f>SUM(I40:I46)</f>
        <v>-720365</v>
      </c>
      <c r="J47" s="443">
        <f>SUM(J40:J46)</f>
        <v>630152</v>
      </c>
      <c r="K47" s="608"/>
    </row>
    <row r="48" spans="2:11" ht="15.75" x14ac:dyDescent="0.25">
      <c r="B48" s="380"/>
      <c r="C48" s="410"/>
      <c r="D48" s="410"/>
      <c r="E48" s="410"/>
      <c r="F48" s="410"/>
      <c r="G48" s="410"/>
      <c r="H48" s="410"/>
      <c r="I48" s="393"/>
      <c r="J48" s="393"/>
      <c r="K48" s="626"/>
    </row>
    <row r="49" spans="2:12" ht="15.75" x14ac:dyDescent="0.25">
      <c r="B49" s="394" t="s">
        <v>36</v>
      </c>
      <c r="C49" s="402">
        <f t="shared" ref="C49:H49" si="8">C36+C47</f>
        <v>-979915</v>
      </c>
      <c r="D49" s="402">
        <f t="shared" si="8"/>
        <v>111370239</v>
      </c>
      <c r="E49" s="402">
        <f t="shared" si="8"/>
        <v>37706507</v>
      </c>
      <c r="F49" s="402">
        <f t="shared" si="8"/>
        <v>-9443950</v>
      </c>
      <c r="G49" s="402">
        <f t="shared" si="8"/>
        <v>128436854</v>
      </c>
      <c r="H49" s="402">
        <f t="shared" si="8"/>
        <v>264024484</v>
      </c>
      <c r="I49" s="502">
        <f>I36+I38+I47</f>
        <v>-73201249.580000043</v>
      </c>
      <c r="J49" s="502">
        <f>J36+J38+J47</f>
        <v>-12635849.98999995</v>
      </c>
      <c r="K49" s="607"/>
    </row>
    <row r="50" spans="2:12" ht="15.75" x14ac:dyDescent="0.25">
      <c r="B50" s="396"/>
      <c r="C50" s="404"/>
      <c r="D50" s="404"/>
      <c r="E50" s="404"/>
      <c r="F50" s="404"/>
      <c r="G50" s="404"/>
      <c r="H50" s="404"/>
      <c r="I50" s="503"/>
      <c r="J50" s="503"/>
      <c r="K50" s="607"/>
    </row>
    <row r="51" spans="2:12" ht="15.75" outlineLevel="1" x14ac:dyDescent="0.25">
      <c r="B51" s="385" t="s">
        <v>428</v>
      </c>
      <c r="C51" s="386"/>
      <c r="D51" s="386"/>
      <c r="E51" s="386"/>
      <c r="F51" s="386"/>
      <c r="G51" s="386"/>
      <c r="H51" s="386"/>
      <c r="I51" s="387">
        <v>-32046357</v>
      </c>
      <c r="J51" s="387">
        <v>-15805587</v>
      </c>
      <c r="K51" s="624"/>
      <c r="L51" s="598"/>
    </row>
    <row r="52" spans="2:12" ht="15.75" outlineLevel="1" x14ac:dyDescent="0.25">
      <c r="B52" s="385" t="s">
        <v>429</v>
      </c>
      <c r="C52" s="386"/>
      <c r="D52" s="386"/>
      <c r="E52" s="386"/>
      <c r="F52" s="386"/>
      <c r="G52" s="386"/>
      <c r="H52" s="386"/>
      <c r="I52" s="387"/>
      <c r="J52" s="169">
        <v>0</v>
      </c>
      <c r="K52" s="627"/>
      <c r="L52" s="598"/>
    </row>
    <row r="53" spans="2:12" ht="15.75" outlineLevel="1" x14ac:dyDescent="0.25">
      <c r="B53" s="385" t="s">
        <v>430</v>
      </c>
      <c r="C53" s="386"/>
      <c r="D53" s="386"/>
      <c r="E53" s="386"/>
      <c r="F53" s="386"/>
      <c r="G53" s="386"/>
      <c r="H53" s="386"/>
      <c r="I53" s="387">
        <v>-605872</v>
      </c>
      <c r="J53" s="387">
        <v>-421042</v>
      </c>
      <c r="K53" s="624"/>
      <c r="L53" s="598"/>
    </row>
    <row r="54" spans="2:12" ht="15.75" outlineLevel="1" x14ac:dyDescent="0.25">
      <c r="B54" s="385" t="s">
        <v>431</v>
      </c>
      <c r="C54" s="386"/>
      <c r="D54" s="386"/>
      <c r="E54" s="386"/>
      <c r="F54" s="386"/>
      <c r="G54" s="386"/>
      <c r="H54" s="386"/>
      <c r="I54" s="387"/>
      <c r="J54" s="169">
        <v>0</v>
      </c>
      <c r="K54" s="627"/>
      <c r="L54" s="598"/>
    </row>
    <row r="55" spans="2:12" ht="15.75" outlineLevel="1" x14ac:dyDescent="0.25">
      <c r="B55" s="385" t="s">
        <v>432</v>
      </c>
      <c r="C55" s="388"/>
      <c r="D55" s="388"/>
      <c r="E55" s="388"/>
      <c r="F55" s="388"/>
      <c r="G55" s="388"/>
      <c r="H55" s="388"/>
      <c r="I55" s="501">
        <v>0</v>
      </c>
      <c r="J55" s="501">
        <v>0</v>
      </c>
      <c r="K55" s="609"/>
      <c r="L55" s="598"/>
    </row>
    <row r="56" spans="2:12" ht="15.75" outlineLevel="1" x14ac:dyDescent="0.25">
      <c r="B56" s="412" t="s">
        <v>433</v>
      </c>
      <c r="C56" s="413"/>
      <c r="D56" s="413"/>
      <c r="E56" s="413"/>
      <c r="F56" s="413"/>
      <c r="G56" s="413"/>
      <c r="H56" s="413"/>
      <c r="I56" s="504">
        <v>-1917407</v>
      </c>
      <c r="J56" s="504">
        <v>0</v>
      </c>
      <c r="K56" s="609"/>
      <c r="L56" s="598"/>
    </row>
    <row r="57" spans="2:12" ht="15.75" x14ac:dyDescent="0.25">
      <c r="B57" s="380" t="s">
        <v>101</v>
      </c>
      <c r="C57" s="387">
        <v>-33061003</v>
      </c>
      <c r="D57" s="387">
        <v>-31560444</v>
      </c>
      <c r="E57" s="387">
        <v>-34361598</v>
      </c>
      <c r="F57" s="387">
        <v>-25380713</v>
      </c>
      <c r="G57" s="387">
        <v>-20346696</v>
      </c>
      <c r="H57" s="387">
        <v>-22607089</v>
      </c>
      <c r="I57" s="505">
        <f>SUM(I51:I56)</f>
        <v>-34569636</v>
      </c>
      <c r="J57" s="505">
        <f>SUM(J51:J56)</f>
        <v>-16226629</v>
      </c>
      <c r="K57" s="628"/>
    </row>
    <row r="58" spans="2:12" ht="15.75" x14ac:dyDescent="0.25">
      <c r="B58" s="385"/>
      <c r="C58" s="387"/>
      <c r="D58" s="387"/>
      <c r="E58" s="387"/>
      <c r="F58" s="387"/>
      <c r="G58" s="387"/>
      <c r="H58" s="387"/>
      <c r="I58" s="505"/>
      <c r="J58" s="505"/>
      <c r="K58" s="628"/>
    </row>
    <row r="59" spans="2:12" ht="15.75" x14ac:dyDescent="0.25">
      <c r="B59" s="385" t="s">
        <v>41</v>
      </c>
      <c r="C59" s="405">
        <v>-372338</v>
      </c>
      <c r="D59" s="387">
        <v>-2294032</v>
      </c>
      <c r="E59" s="387">
        <v>-653000</v>
      </c>
      <c r="F59" s="387">
        <v>-801078</v>
      </c>
      <c r="G59" s="387">
        <v>-2889609</v>
      </c>
      <c r="H59" s="387">
        <v>-7973078</v>
      </c>
      <c r="I59" s="505">
        <v>-356430</v>
      </c>
      <c r="J59" s="505">
        <v>-421589</v>
      </c>
      <c r="K59" s="628"/>
    </row>
    <row r="60" spans="2:12" ht="16.5" thickBot="1" x14ac:dyDescent="0.3">
      <c r="B60" s="385"/>
      <c r="C60" s="405"/>
      <c r="D60" s="387"/>
      <c r="E60" s="387"/>
      <c r="F60" s="387"/>
      <c r="G60" s="387"/>
      <c r="H60" s="387"/>
      <c r="I60" s="387"/>
      <c r="J60" s="387"/>
      <c r="K60" s="624"/>
    </row>
    <row r="61" spans="2:12" ht="17.25" thickTop="1" thickBot="1" x14ac:dyDescent="0.3">
      <c r="B61" s="414" t="s">
        <v>3</v>
      </c>
      <c r="C61" s="415">
        <f t="shared" ref="C61:H61" si="9">C49+C57+C59</f>
        <v>-34413256</v>
      </c>
      <c r="D61" s="416">
        <f t="shared" si="9"/>
        <v>77515763</v>
      </c>
      <c r="E61" s="416">
        <f t="shared" si="9"/>
        <v>2691909</v>
      </c>
      <c r="F61" s="415">
        <f t="shared" si="9"/>
        <v>-35625741</v>
      </c>
      <c r="G61" s="416">
        <f t="shared" si="9"/>
        <v>105200549</v>
      </c>
      <c r="H61" s="416">
        <f t="shared" si="9"/>
        <v>233444317</v>
      </c>
      <c r="I61" s="506">
        <f>I49+I57+I59</f>
        <v>-108127315.58000004</v>
      </c>
      <c r="J61" s="506">
        <f>J49+J57+J59</f>
        <v>-29284067.98999995</v>
      </c>
      <c r="K61" s="610"/>
    </row>
    <row r="62" spans="2:12" ht="16.5" thickTop="1" x14ac:dyDescent="0.25">
      <c r="B62" s="417" t="s">
        <v>43</v>
      </c>
      <c r="C62" s="387">
        <v>-289452</v>
      </c>
      <c r="D62" s="387">
        <v>-692696</v>
      </c>
      <c r="E62" s="387">
        <v>4070260</v>
      </c>
      <c r="F62" s="387">
        <v>439752</v>
      </c>
      <c r="G62" s="387">
        <v>-2172110</v>
      </c>
      <c r="H62" s="399">
        <v>-3994835</v>
      </c>
      <c r="I62" s="507">
        <v>0</v>
      </c>
      <c r="J62" s="507">
        <v>0</v>
      </c>
      <c r="K62" s="609"/>
    </row>
    <row r="63" spans="2:12" ht="15.75" x14ac:dyDescent="0.25">
      <c r="B63" s="417" t="s">
        <v>102</v>
      </c>
      <c r="C63" s="390">
        <v>0</v>
      </c>
      <c r="D63" s="390">
        <v>0</v>
      </c>
      <c r="E63" s="390">
        <v>0</v>
      </c>
      <c r="F63" s="390">
        <v>0</v>
      </c>
      <c r="G63" s="387">
        <v>-58985</v>
      </c>
      <c r="H63" s="387">
        <v>-1653</v>
      </c>
      <c r="I63" s="508">
        <v>0</v>
      </c>
      <c r="J63" s="508">
        <v>0</v>
      </c>
      <c r="K63" s="611"/>
    </row>
    <row r="64" spans="2:12" ht="15.75" x14ac:dyDescent="0.25">
      <c r="B64" s="418" t="s">
        <v>103</v>
      </c>
      <c r="C64" s="419">
        <f>C62+C63</f>
        <v>-289452</v>
      </c>
      <c r="D64" s="419">
        <f t="shared" ref="D64:I64" si="10">D62+D63</f>
        <v>-692696</v>
      </c>
      <c r="E64" s="419">
        <f t="shared" si="10"/>
        <v>4070260</v>
      </c>
      <c r="F64" s="419">
        <f t="shared" si="10"/>
        <v>439752</v>
      </c>
      <c r="G64" s="419">
        <f t="shared" si="10"/>
        <v>-2231095</v>
      </c>
      <c r="H64" s="419">
        <f t="shared" si="10"/>
        <v>-3996488</v>
      </c>
      <c r="I64" s="509">
        <f t="shared" si="10"/>
        <v>0</v>
      </c>
      <c r="J64" s="509">
        <f>J62+J63</f>
        <v>0</v>
      </c>
      <c r="K64" s="609"/>
    </row>
    <row r="65" spans="2:15" ht="16.5" thickBot="1" x14ac:dyDescent="0.3">
      <c r="B65" s="420" t="s">
        <v>44</v>
      </c>
      <c r="C65" s="421">
        <f>C61+C64</f>
        <v>-34702708</v>
      </c>
      <c r="D65" s="421">
        <f t="shared" ref="D65:I65" si="11">D61+D64</f>
        <v>76823067</v>
      </c>
      <c r="E65" s="421">
        <f t="shared" si="11"/>
        <v>6762169</v>
      </c>
      <c r="F65" s="421">
        <f t="shared" si="11"/>
        <v>-35185989</v>
      </c>
      <c r="G65" s="421">
        <f t="shared" si="11"/>
        <v>102969454</v>
      </c>
      <c r="H65" s="421">
        <f t="shared" si="11"/>
        <v>229447829</v>
      </c>
      <c r="I65" s="510">
        <f t="shared" si="11"/>
        <v>-108127315.58000004</v>
      </c>
      <c r="J65" s="510">
        <f>J61+J64</f>
        <v>-29284067.98999995</v>
      </c>
      <c r="K65" s="607"/>
    </row>
    <row r="66" spans="2:15" ht="16.5" thickTop="1" x14ac:dyDescent="0.25">
      <c r="B66" s="422" t="s">
        <v>5</v>
      </c>
      <c r="C66" s="423">
        <v>0</v>
      </c>
      <c r="D66" s="423">
        <v>0</v>
      </c>
      <c r="E66" s="423">
        <v>0</v>
      </c>
      <c r="F66" s="423">
        <v>0</v>
      </c>
      <c r="G66" s="423">
        <v>0</v>
      </c>
      <c r="H66" s="423">
        <v>0</v>
      </c>
      <c r="I66" s="423">
        <v>0</v>
      </c>
      <c r="J66" s="511">
        <v>0</v>
      </c>
      <c r="K66" s="612"/>
    </row>
    <row r="67" spans="2:15" ht="15.75" x14ac:dyDescent="0.25">
      <c r="B67" s="411"/>
      <c r="C67" s="424"/>
      <c r="D67" s="411"/>
      <c r="E67" s="411"/>
      <c r="F67" s="411"/>
      <c r="G67" s="411"/>
      <c r="H67" s="411"/>
      <c r="I67" s="411"/>
      <c r="J67" s="411"/>
      <c r="K67" s="411"/>
    </row>
    <row r="68" spans="2:15" ht="15.75" x14ac:dyDescent="0.25">
      <c r="B68" s="373" t="s">
        <v>6</v>
      </c>
      <c r="C68" s="374" t="s">
        <v>105</v>
      </c>
      <c r="D68" s="375"/>
      <c r="E68" s="375"/>
      <c r="F68" s="375"/>
      <c r="G68" s="375"/>
      <c r="H68" s="375"/>
      <c r="I68" s="376"/>
      <c r="J68" s="376"/>
      <c r="K68" s="623"/>
    </row>
    <row r="69" spans="2:15" ht="15.75" x14ac:dyDescent="0.25">
      <c r="B69" s="377" t="s">
        <v>39</v>
      </c>
      <c r="C69" s="378">
        <v>2017</v>
      </c>
      <c r="D69" s="378">
        <f t="shared" ref="D69:J69" si="12">C69+1</f>
        <v>2018</v>
      </c>
      <c r="E69" s="378">
        <f t="shared" si="12"/>
        <v>2019</v>
      </c>
      <c r="F69" s="378">
        <f t="shared" si="12"/>
        <v>2020</v>
      </c>
      <c r="G69" s="378">
        <f t="shared" si="12"/>
        <v>2021</v>
      </c>
      <c r="H69" s="379">
        <f t="shared" si="12"/>
        <v>2022</v>
      </c>
      <c r="I69" s="379">
        <f t="shared" si="12"/>
        <v>2023</v>
      </c>
      <c r="J69" s="379">
        <f t="shared" si="12"/>
        <v>2024</v>
      </c>
      <c r="K69" s="427"/>
    </row>
    <row r="70" spans="2:15" ht="15.75" x14ac:dyDescent="0.25">
      <c r="B70" s="425" t="s">
        <v>53</v>
      </c>
      <c r="C70" s="426"/>
      <c r="D70" s="426"/>
      <c r="E70" s="426"/>
      <c r="F70" s="426"/>
      <c r="G70" s="426"/>
      <c r="H70" s="427"/>
      <c r="I70" s="513"/>
      <c r="J70" s="513"/>
      <c r="K70" s="427"/>
    </row>
    <row r="71" spans="2:15" ht="15.75" x14ac:dyDescent="0.25">
      <c r="B71" s="425"/>
      <c r="C71" s="426"/>
      <c r="D71" s="426"/>
      <c r="E71" s="426"/>
      <c r="F71" s="426"/>
      <c r="G71" s="426"/>
      <c r="H71" s="428"/>
      <c r="I71" s="426"/>
      <c r="J71" s="426"/>
      <c r="K71" s="427"/>
    </row>
    <row r="72" spans="2:15" ht="15.75" customHeight="1" outlineLevel="1" x14ac:dyDescent="0.25">
      <c r="B72" s="429" t="s">
        <v>434</v>
      </c>
      <c r="C72" s="430">
        <v>31220726</v>
      </c>
      <c r="D72" s="386">
        <v>32575968</v>
      </c>
      <c r="E72" s="430">
        <v>41387407</v>
      </c>
      <c r="F72" s="430">
        <v>38678750</v>
      </c>
      <c r="G72" s="430">
        <v>38169207</v>
      </c>
      <c r="H72" s="431">
        <v>15037538</v>
      </c>
      <c r="I72" s="515">
        <v>15037538</v>
      </c>
      <c r="J72" s="515">
        <f>(10988039.89-9072364.87)+(1023057.98-510894.44)+14586811</f>
        <v>17014649.560000002</v>
      </c>
      <c r="K72" s="613"/>
      <c r="L72" s="289"/>
      <c r="M72" s="632"/>
      <c r="N72" s="637"/>
      <c r="O72" s="635"/>
    </row>
    <row r="73" spans="2:15" ht="15.75" customHeight="1" outlineLevel="1" x14ac:dyDescent="0.25">
      <c r="B73" s="429" t="s">
        <v>435</v>
      </c>
      <c r="C73" s="430">
        <v>180399450</v>
      </c>
      <c r="D73" s="386">
        <v>169119217</v>
      </c>
      <c r="E73" s="430">
        <v>159878817</v>
      </c>
      <c r="F73" s="430">
        <v>147614692</v>
      </c>
      <c r="G73" s="430">
        <v>135790233</v>
      </c>
      <c r="H73" s="431">
        <v>126417261</v>
      </c>
      <c r="I73" s="515">
        <v>118237150</v>
      </c>
      <c r="J73" s="515">
        <f>(219677162.81-115695724.06)+(6933078.69-3502381.33)</f>
        <v>107412136.11</v>
      </c>
      <c r="K73" s="613"/>
      <c r="L73" s="289"/>
      <c r="M73" s="632"/>
      <c r="N73" s="637"/>
      <c r="O73" s="635"/>
    </row>
    <row r="74" spans="2:15" ht="15.75" customHeight="1" outlineLevel="1" x14ac:dyDescent="0.25">
      <c r="B74" s="429" t="s">
        <v>436</v>
      </c>
      <c r="C74" s="430">
        <v>599641652</v>
      </c>
      <c r="D74" s="386">
        <v>602643643</v>
      </c>
      <c r="E74" s="430">
        <v>565828988</v>
      </c>
      <c r="F74" s="430">
        <v>548720430</v>
      </c>
      <c r="G74" s="430">
        <v>498222837</v>
      </c>
      <c r="H74" s="431">
        <v>467816938</v>
      </c>
      <c r="I74" s="515">
        <v>466352612</v>
      </c>
      <c r="J74" s="515">
        <f>(943253869.87-570475444.66)+(27202089.77-14617889.17)+(6331.5-4282)</f>
        <v>385364675.31000006</v>
      </c>
      <c r="K74" s="613"/>
      <c r="L74" s="289"/>
      <c r="M74" s="632"/>
      <c r="N74" s="637"/>
      <c r="O74" s="635"/>
    </row>
    <row r="75" spans="2:15" ht="15.75" customHeight="1" outlineLevel="1" x14ac:dyDescent="0.25">
      <c r="B75" s="429" t="s">
        <v>437</v>
      </c>
      <c r="C75" s="430">
        <v>7510920</v>
      </c>
      <c r="D75" s="386">
        <v>6739507</v>
      </c>
      <c r="E75" s="430">
        <v>4842245</v>
      </c>
      <c r="F75" s="430">
        <v>4091650</v>
      </c>
      <c r="G75" s="430">
        <v>4405397</v>
      </c>
      <c r="H75" s="431">
        <v>4582996</v>
      </c>
      <c r="I75" s="515">
        <v>4103489</v>
      </c>
      <c r="J75" s="515">
        <f>(10578918.95+9249371.25+11060629.7-8240108.31-6563498.26-8038720.43)+(1134662.81+712427.95+831417.36-876566-326722-544524)+(113931+20201.35-113927-10713)</f>
        <v>8986781.3699999992</v>
      </c>
      <c r="K75" s="613"/>
      <c r="L75" s="289"/>
      <c r="M75" s="632"/>
      <c r="N75" s="636"/>
      <c r="O75" s="636"/>
    </row>
    <row r="76" spans="2:15" ht="15.75" customHeight="1" outlineLevel="1" x14ac:dyDescent="0.25">
      <c r="B76" s="429" t="s">
        <v>438</v>
      </c>
      <c r="C76" s="430">
        <v>14656626</v>
      </c>
      <c r="D76" s="386">
        <v>12748645</v>
      </c>
      <c r="E76" s="430">
        <v>11673869</v>
      </c>
      <c r="F76" s="430">
        <v>12818254</v>
      </c>
      <c r="G76" s="430">
        <v>12353737</v>
      </c>
      <c r="H76" s="431">
        <v>19087000</v>
      </c>
      <c r="I76" s="515">
        <v>21472009</v>
      </c>
      <c r="J76" s="515">
        <f>(47362406.94-30746741.75)+(10520158.81-7906566)+(777944-208423)</f>
        <v>19798779</v>
      </c>
      <c r="K76" s="613"/>
      <c r="L76" s="289"/>
      <c r="M76" s="632"/>
      <c r="N76" s="636"/>
      <c r="O76" s="636"/>
    </row>
    <row r="77" spans="2:15" ht="15.75" customHeight="1" outlineLevel="1" x14ac:dyDescent="0.25">
      <c r="B77" s="432" t="s">
        <v>439</v>
      </c>
      <c r="C77" s="433">
        <v>15800776</v>
      </c>
      <c r="D77" s="386">
        <v>8999807</v>
      </c>
      <c r="E77" s="433">
        <v>10969200</v>
      </c>
      <c r="F77" s="432">
        <v>5026288</v>
      </c>
      <c r="G77" s="433">
        <v>2912309</v>
      </c>
      <c r="H77" s="430">
        <v>19252957</v>
      </c>
      <c r="I77" s="515">
        <v>18671903</v>
      </c>
      <c r="J77" s="515">
        <f>(10988995.31+8999492.72+36326711.4+7761046.34+12331405.22-4670172)</f>
        <v>71737478.989999995</v>
      </c>
      <c r="K77" s="613"/>
      <c r="N77" s="636"/>
      <c r="O77" s="636"/>
    </row>
    <row r="78" spans="2:15" ht="15.75" customHeight="1" outlineLevel="1" x14ac:dyDescent="0.25">
      <c r="B78" s="434" t="s">
        <v>440</v>
      </c>
      <c r="C78" s="435"/>
      <c r="D78" s="436"/>
      <c r="E78" s="435"/>
      <c r="F78" s="435"/>
      <c r="G78" s="435"/>
      <c r="H78" s="437"/>
      <c r="I78" s="516"/>
      <c r="J78" s="516">
        <f>10903950.2+7014449.54</f>
        <v>17918399.739999998</v>
      </c>
      <c r="K78" s="613"/>
      <c r="N78" s="634"/>
      <c r="O78" s="636"/>
    </row>
    <row r="79" spans="2:15" ht="15.75" x14ac:dyDescent="0.25">
      <c r="B79" s="380" t="s">
        <v>7</v>
      </c>
      <c r="C79" s="410">
        <f t="shared" ref="C79:H79" si="13">SUM(C72:C77)</f>
        <v>849230150</v>
      </c>
      <c r="D79" s="410">
        <f t="shared" si="13"/>
        <v>832826787</v>
      </c>
      <c r="E79" s="410">
        <f t="shared" si="13"/>
        <v>794580526</v>
      </c>
      <c r="F79" s="410">
        <f t="shared" si="13"/>
        <v>756950064</v>
      </c>
      <c r="G79" s="410">
        <f t="shared" si="13"/>
        <v>691853720</v>
      </c>
      <c r="H79" s="410">
        <f t="shared" si="13"/>
        <v>652194690</v>
      </c>
      <c r="I79" s="517">
        <f>SUM(I72:I78)</f>
        <v>643874701</v>
      </c>
      <c r="J79" s="517">
        <f>SUM(J72:J78)</f>
        <v>628232900.08000016</v>
      </c>
      <c r="K79" s="614"/>
      <c r="N79" s="634"/>
      <c r="O79" s="636"/>
    </row>
    <row r="80" spans="2:15" ht="15.75" x14ac:dyDescent="0.25">
      <c r="B80" s="380"/>
      <c r="C80" s="410"/>
      <c r="D80" s="410"/>
      <c r="E80" s="410"/>
      <c r="F80" s="410"/>
      <c r="G80" s="410"/>
      <c r="H80" s="410"/>
      <c r="I80" s="515"/>
      <c r="J80" s="515"/>
      <c r="K80" s="613"/>
      <c r="N80" s="634"/>
      <c r="O80" s="633"/>
    </row>
    <row r="81" spans="2:15" ht="15.75" x14ac:dyDescent="0.25">
      <c r="B81" s="380" t="s">
        <v>45</v>
      </c>
      <c r="C81" s="405">
        <v>0</v>
      </c>
      <c r="D81" s="405">
        <v>0</v>
      </c>
      <c r="E81" s="405">
        <v>9564766</v>
      </c>
      <c r="F81" s="405">
        <v>9793474</v>
      </c>
      <c r="G81" s="405">
        <v>14929593</v>
      </c>
      <c r="H81" s="405">
        <v>12001937</v>
      </c>
      <c r="I81" s="515">
        <v>9766712</v>
      </c>
      <c r="J81" s="515">
        <v>16415374</v>
      </c>
      <c r="K81" s="613"/>
      <c r="N81" s="634"/>
      <c r="O81" s="633"/>
    </row>
    <row r="82" spans="2:15" ht="15.75" x14ac:dyDescent="0.25">
      <c r="B82" s="380"/>
      <c r="C82" s="405"/>
      <c r="D82" s="405"/>
      <c r="E82" s="405"/>
      <c r="F82" s="405"/>
      <c r="G82" s="405"/>
      <c r="H82" s="405"/>
      <c r="I82" s="515"/>
      <c r="J82" s="515"/>
      <c r="K82" s="613"/>
      <c r="N82" s="634"/>
      <c r="O82" s="633"/>
    </row>
    <row r="83" spans="2:15" ht="15.75" x14ac:dyDescent="0.25">
      <c r="B83" s="380" t="s">
        <v>46</v>
      </c>
      <c r="C83" s="405">
        <v>652930</v>
      </c>
      <c r="D83" s="405">
        <v>204417</v>
      </c>
      <c r="E83" s="405">
        <v>472836</v>
      </c>
      <c r="F83" s="405">
        <v>432405</v>
      </c>
      <c r="G83" s="405">
        <v>305325</v>
      </c>
      <c r="H83" s="405">
        <v>1123205</v>
      </c>
      <c r="I83" s="515">
        <v>1056775</v>
      </c>
      <c r="J83" s="515">
        <v>968632</v>
      </c>
      <c r="K83" s="613"/>
      <c r="L83" s="633"/>
      <c r="M83" s="633"/>
      <c r="N83" s="634"/>
      <c r="O83" s="633"/>
    </row>
    <row r="84" spans="2:15" ht="15.75" x14ac:dyDescent="0.25">
      <c r="B84" s="380"/>
      <c r="C84" s="405"/>
      <c r="D84" s="405"/>
      <c r="E84" s="405"/>
      <c r="F84" s="405"/>
      <c r="G84" s="405"/>
      <c r="H84" s="405"/>
      <c r="I84" s="515"/>
      <c r="J84" s="515"/>
      <c r="K84" s="613"/>
      <c r="L84" s="633"/>
      <c r="M84" s="633"/>
      <c r="N84" s="634"/>
      <c r="O84" s="633"/>
    </row>
    <row r="85" spans="2:15" ht="15.75" x14ac:dyDescent="0.25">
      <c r="B85" s="380" t="s">
        <v>106</v>
      </c>
      <c r="C85" s="405">
        <v>15908041</v>
      </c>
      <c r="D85" s="405">
        <v>16139908</v>
      </c>
      <c r="E85" s="405">
        <v>16139908</v>
      </c>
      <c r="F85" s="405">
        <v>18941077</v>
      </c>
      <c r="G85" s="405">
        <v>18922587</v>
      </c>
      <c r="H85" s="405">
        <v>42086561</v>
      </c>
      <c r="I85" s="515">
        <v>42658456</v>
      </c>
      <c r="J85" s="515">
        <v>42621346</v>
      </c>
      <c r="K85" s="613"/>
      <c r="N85" s="633"/>
      <c r="O85" s="633"/>
    </row>
    <row r="86" spans="2:15" ht="15.75" x14ac:dyDescent="0.25">
      <c r="B86" s="380"/>
      <c r="C86" s="405"/>
      <c r="D86" s="405"/>
      <c r="E86" s="405"/>
      <c r="F86" s="405"/>
      <c r="G86" s="405"/>
      <c r="H86" s="405"/>
      <c r="I86" s="515"/>
      <c r="J86" s="515"/>
      <c r="K86" s="613"/>
      <c r="N86" s="633"/>
      <c r="O86" s="633"/>
    </row>
    <row r="87" spans="2:15" ht="15.75" x14ac:dyDescent="0.25">
      <c r="B87" s="380" t="s">
        <v>441</v>
      </c>
      <c r="C87" s="405">
        <v>0</v>
      </c>
      <c r="D87" s="405">
        <v>0</v>
      </c>
      <c r="E87" s="405">
        <v>0</v>
      </c>
      <c r="F87" s="405">
        <v>0</v>
      </c>
      <c r="G87" s="405">
        <v>0</v>
      </c>
      <c r="H87" s="405">
        <v>0</v>
      </c>
      <c r="I87" s="515">
        <v>0</v>
      </c>
      <c r="J87" s="515">
        <v>190148</v>
      </c>
      <c r="K87" s="613"/>
    </row>
    <row r="88" spans="2:15" ht="15.75" x14ac:dyDescent="0.25">
      <c r="B88" s="380"/>
      <c r="C88" s="405"/>
      <c r="D88" s="405"/>
      <c r="E88" s="405"/>
      <c r="F88" s="405"/>
      <c r="G88" s="405"/>
      <c r="H88" s="405"/>
      <c r="I88" s="515"/>
      <c r="J88" s="515"/>
      <c r="K88" s="613"/>
    </row>
    <row r="89" spans="2:15" ht="15.75" x14ac:dyDescent="0.25">
      <c r="B89" s="380" t="s">
        <v>107</v>
      </c>
      <c r="C89" s="405">
        <v>16108965</v>
      </c>
      <c r="D89" s="405">
        <v>17464229</v>
      </c>
      <c r="E89" s="405">
        <v>18924402</v>
      </c>
      <c r="F89" s="405">
        <v>19770106</v>
      </c>
      <c r="G89" s="405">
        <v>19447652</v>
      </c>
      <c r="H89" s="405">
        <v>22289013</v>
      </c>
      <c r="I89" s="515">
        <v>20664843</v>
      </c>
      <c r="J89" s="515">
        <v>21502182</v>
      </c>
      <c r="K89" s="613"/>
    </row>
    <row r="90" spans="2:15" ht="15.75" x14ac:dyDescent="0.25">
      <c r="B90" s="380"/>
      <c r="C90" s="410"/>
      <c r="D90" s="410"/>
      <c r="E90" s="410"/>
      <c r="F90" s="410"/>
      <c r="G90" s="410"/>
      <c r="H90" s="410"/>
      <c r="I90" s="518"/>
      <c r="J90" s="518"/>
      <c r="K90" s="608"/>
    </row>
    <row r="91" spans="2:15" ht="15.75" x14ac:dyDescent="0.25">
      <c r="B91" s="438" t="s">
        <v>47</v>
      </c>
      <c r="C91" s="439">
        <f t="shared" ref="C91:I91" si="14">SUM(C79:C89)</f>
        <v>881900086</v>
      </c>
      <c r="D91" s="439">
        <f t="shared" si="14"/>
        <v>866635341</v>
      </c>
      <c r="E91" s="439">
        <f t="shared" si="14"/>
        <v>839682438</v>
      </c>
      <c r="F91" s="439">
        <f t="shared" si="14"/>
        <v>805887126</v>
      </c>
      <c r="G91" s="439">
        <f t="shared" si="14"/>
        <v>745458877</v>
      </c>
      <c r="H91" s="439">
        <f t="shared" si="14"/>
        <v>729695406</v>
      </c>
      <c r="I91" s="519">
        <f t="shared" si="14"/>
        <v>718021487</v>
      </c>
      <c r="J91" s="519">
        <f>SUM(J79:J89)</f>
        <v>709930582.08000016</v>
      </c>
      <c r="K91" s="615"/>
    </row>
    <row r="92" spans="2:15" ht="15.75" x14ac:dyDescent="0.25">
      <c r="B92" s="385"/>
      <c r="C92" s="440"/>
      <c r="D92" s="440"/>
      <c r="E92" s="440"/>
      <c r="F92" s="440"/>
      <c r="G92" s="440"/>
      <c r="H92" s="440"/>
      <c r="I92" s="440"/>
      <c r="J92" s="440"/>
      <c r="K92" s="629"/>
    </row>
    <row r="93" spans="2:15" ht="15.75" customHeight="1" outlineLevel="1" x14ac:dyDescent="0.25">
      <c r="B93" s="385" t="s">
        <v>442</v>
      </c>
      <c r="C93" s="430">
        <v>26132425</v>
      </c>
      <c r="D93" s="430">
        <v>27153765</v>
      </c>
      <c r="E93" s="430">
        <v>10079318</v>
      </c>
      <c r="F93" s="430">
        <v>4510455</v>
      </c>
      <c r="G93" s="430">
        <v>23903094</v>
      </c>
      <c r="H93" s="441">
        <v>15689416</v>
      </c>
      <c r="I93" s="441">
        <v>9985029</v>
      </c>
      <c r="J93" s="441">
        <v>1913079</v>
      </c>
      <c r="K93" s="613"/>
    </row>
    <row r="94" spans="2:15" ht="15.75" customHeight="1" outlineLevel="1" x14ac:dyDescent="0.25">
      <c r="B94" s="385" t="s">
        <v>443</v>
      </c>
      <c r="C94" s="430">
        <v>35247725</v>
      </c>
      <c r="D94" s="430">
        <v>22603865</v>
      </c>
      <c r="E94" s="430">
        <v>30033550</v>
      </c>
      <c r="F94" s="430">
        <v>24218676</v>
      </c>
      <c r="G94" s="430">
        <v>26293746</v>
      </c>
      <c r="H94" s="430">
        <v>31627713</v>
      </c>
      <c r="I94" s="441">
        <v>34537356</v>
      </c>
      <c r="J94" s="441">
        <v>37165190</v>
      </c>
      <c r="K94" s="613"/>
    </row>
    <row r="95" spans="2:15" ht="15.75" customHeight="1" outlineLevel="1" x14ac:dyDescent="0.25">
      <c r="B95" s="385" t="s">
        <v>444</v>
      </c>
      <c r="C95" s="430">
        <v>4663895</v>
      </c>
      <c r="D95" s="430">
        <v>19122885</v>
      </c>
      <c r="E95" s="430">
        <v>23603517</v>
      </c>
      <c r="F95" s="430">
        <v>6018363</v>
      </c>
      <c r="G95" s="442">
        <v>0</v>
      </c>
      <c r="H95" s="430">
        <v>29406002</v>
      </c>
      <c r="I95" s="441">
        <v>4451086</v>
      </c>
      <c r="J95" s="441">
        <v>8337666</v>
      </c>
      <c r="K95" s="613"/>
    </row>
    <row r="96" spans="2:15" ht="15.75" customHeight="1" outlineLevel="1" x14ac:dyDescent="0.25">
      <c r="B96" s="385" t="s">
        <v>445</v>
      </c>
      <c r="C96" s="430">
        <v>4157374</v>
      </c>
      <c r="D96" s="430">
        <v>3029093</v>
      </c>
      <c r="E96" s="430">
        <v>261000</v>
      </c>
      <c r="F96" s="430">
        <v>138700</v>
      </c>
      <c r="G96" s="430">
        <v>82557</v>
      </c>
      <c r="H96" s="441">
        <v>0</v>
      </c>
      <c r="I96" s="441">
        <v>0</v>
      </c>
      <c r="J96" s="441">
        <v>0</v>
      </c>
      <c r="K96" s="613"/>
    </row>
    <row r="97" spans="2:12" ht="15.75" outlineLevel="1" x14ac:dyDescent="0.25">
      <c r="B97" s="385" t="s">
        <v>414</v>
      </c>
      <c r="C97" s="430">
        <v>7960943</v>
      </c>
      <c r="D97" s="430">
        <v>8632933</v>
      </c>
      <c r="E97" s="430">
        <v>7921462</v>
      </c>
      <c r="F97" s="430">
        <v>10107262</v>
      </c>
      <c r="G97" s="430">
        <v>9070927</v>
      </c>
      <c r="H97" s="441">
        <v>8775861</v>
      </c>
      <c r="I97" s="441">
        <v>9212216</v>
      </c>
      <c r="J97" s="441">
        <v>26744876</v>
      </c>
      <c r="K97" s="613"/>
    </row>
    <row r="98" spans="2:12" ht="15.75" outlineLevel="1" x14ac:dyDescent="0.25">
      <c r="B98" s="385" t="s">
        <v>446</v>
      </c>
      <c r="C98" s="430">
        <v>0</v>
      </c>
      <c r="D98" s="430">
        <v>0</v>
      </c>
      <c r="E98" s="430">
        <v>0</v>
      </c>
      <c r="F98" s="430">
        <v>0</v>
      </c>
      <c r="G98" s="430">
        <v>1249099</v>
      </c>
      <c r="H98" s="441">
        <v>0</v>
      </c>
      <c r="I98" s="441">
        <v>0</v>
      </c>
      <c r="J98" s="441">
        <v>0</v>
      </c>
      <c r="K98" s="613"/>
    </row>
    <row r="99" spans="2:12" ht="15.75" outlineLevel="1" x14ac:dyDescent="0.25">
      <c r="B99" s="385" t="s">
        <v>447</v>
      </c>
      <c r="C99" s="430">
        <v>14097893</v>
      </c>
      <c r="D99" s="430">
        <v>10440020</v>
      </c>
      <c r="E99" s="430">
        <v>19691546</v>
      </c>
      <c r="F99" s="430">
        <v>18905681</v>
      </c>
      <c r="G99" s="430">
        <v>13235326</v>
      </c>
      <c r="H99" s="441">
        <v>30103880</v>
      </c>
      <c r="I99" s="441">
        <v>18644946</v>
      </c>
      <c r="J99" s="441">
        <v>0</v>
      </c>
      <c r="K99" s="613"/>
    </row>
    <row r="100" spans="2:12" ht="15.75" outlineLevel="1" x14ac:dyDescent="0.25">
      <c r="B100" s="391" t="s">
        <v>448</v>
      </c>
      <c r="C100" s="435">
        <v>-1311756</v>
      </c>
      <c r="D100" s="435">
        <v>-2157924</v>
      </c>
      <c r="E100" s="435">
        <v>-3592528</v>
      </c>
      <c r="F100" s="435">
        <v>-5432528</v>
      </c>
      <c r="G100" s="435">
        <v>-4269207</v>
      </c>
      <c r="H100" s="435">
        <v>-6179842</v>
      </c>
      <c r="I100" s="516">
        <v>-7379837</v>
      </c>
      <c r="J100" s="516">
        <v>-7979837</v>
      </c>
      <c r="K100" s="613"/>
    </row>
    <row r="101" spans="2:12" ht="15.75" x14ac:dyDescent="0.25">
      <c r="B101" s="380" t="s">
        <v>49</v>
      </c>
      <c r="C101" s="410">
        <f t="shared" ref="C101:H101" si="15">SUM(C93:C100)</f>
        <v>90948499</v>
      </c>
      <c r="D101" s="410">
        <f t="shared" si="15"/>
        <v>88824637</v>
      </c>
      <c r="E101" s="443">
        <f t="shared" si="15"/>
        <v>87997865</v>
      </c>
      <c r="F101" s="410">
        <f t="shared" si="15"/>
        <v>58466609</v>
      </c>
      <c r="G101" s="410">
        <f t="shared" si="15"/>
        <v>69565542</v>
      </c>
      <c r="H101" s="410">
        <f t="shared" si="15"/>
        <v>109423030</v>
      </c>
      <c r="I101" s="443">
        <f>SUM(I93:I100)</f>
        <v>69450796</v>
      </c>
      <c r="J101" s="443">
        <f>SUM(J93:J100)</f>
        <v>66180974</v>
      </c>
      <c r="K101" s="608"/>
      <c r="L101" s="599"/>
    </row>
    <row r="102" spans="2:12" ht="15.75" x14ac:dyDescent="0.25">
      <c r="B102" s="380"/>
      <c r="C102" s="410"/>
      <c r="D102" s="410"/>
      <c r="E102" s="410"/>
      <c r="F102" s="410"/>
      <c r="G102" s="410"/>
      <c r="H102" s="410"/>
      <c r="I102" s="443"/>
      <c r="J102" s="443"/>
      <c r="K102" s="608"/>
      <c r="L102" s="599"/>
    </row>
    <row r="103" spans="2:12" ht="15.75" outlineLevel="1" x14ac:dyDescent="0.25">
      <c r="B103" s="385" t="s">
        <v>50</v>
      </c>
      <c r="C103" s="405">
        <v>108614648</v>
      </c>
      <c r="D103" s="405">
        <v>180676868</v>
      </c>
      <c r="E103" s="405">
        <v>194152638</v>
      </c>
      <c r="F103" s="405">
        <v>131089847</v>
      </c>
      <c r="G103" s="405">
        <v>205972307</v>
      </c>
      <c r="H103" s="405">
        <v>306180639</v>
      </c>
      <c r="I103" s="444">
        <v>274187021</v>
      </c>
      <c r="J103" s="444">
        <v>250708975</v>
      </c>
      <c r="K103" s="606"/>
    </row>
    <row r="104" spans="2:12" ht="15.75" outlineLevel="1" x14ac:dyDescent="0.25">
      <c r="B104" s="385" t="s">
        <v>449</v>
      </c>
      <c r="C104" s="405">
        <v>15658128</v>
      </c>
      <c r="D104" s="405">
        <v>29475081</v>
      </c>
      <c r="E104" s="405">
        <v>19909741</v>
      </c>
      <c r="F104" s="405">
        <v>16870026</v>
      </c>
      <c r="G104" s="405">
        <v>22738764</v>
      </c>
      <c r="H104" s="405">
        <v>43408801</v>
      </c>
      <c r="I104" s="444">
        <v>34270454</v>
      </c>
      <c r="J104" s="444">
        <v>25630031</v>
      </c>
      <c r="K104" s="606"/>
    </row>
    <row r="105" spans="2:12" ht="15.75" outlineLevel="1" x14ac:dyDescent="0.25">
      <c r="B105" s="391" t="s">
        <v>450</v>
      </c>
      <c r="C105" s="408">
        <v>-1934106</v>
      </c>
      <c r="D105" s="408">
        <v>-4425815</v>
      </c>
      <c r="E105" s="408">
        <v>-6342660</v>
      </c>
      <c r="F105" s="408">
        <v>-7831242</v>
      </c>
      <c r="G105" s="408">
        <v>-5486755</v>
      </c>
      <c r="H105" s="408">
        <v>-6386755</v>
      </c>
      <c r="I105" s="445">
        <v>-12386755</v>
      </c>
      <c r="J105" s="445">
        <v>-12386755</v>
      </c>
      <c r="K105" s="606"/>
    </row>
    <row r="106" spans="2:12" ht="15.75" x14ac:dyDescent="0.25">
      <c r="B106" s="380" t="s">
        <v>50</v>
      </c>
      <c r="C106" s="410">
        <f t="shared" ref="C106:H106" si="16">SUM(C103:C105)</f>
        <v>122338670</v>
      </c>
      <c r="D106" s="410">
        <f t="shared" si="16"/>
        <v>205726134</v>
      </c>
      <c r="E106" s="443">
        <f t="shared" si="16"/>
        <v>207719719</v>
      </c>
      <c r="F106" s="443">
        <f t="shared" si="16"/>
        <v>140128631</v>
      </c>
      <c r="G106" s="443">
        <f t="shared" si="16"/>
        <v>223224316</v>
      </c>
      <c r="H106" s="443">
        <f t="shared" si="16"/>
        <v>343202685</v>
      </c>
      <c r="I106" s="443">
        <f>SUM(I103:I105)</f>
        <v>296070720</v>
      </c>
      <c r="J106" s="443">
        <f>SUM(J103:J105)</f>
        <v>263952251</v>
      </c>
      <c r="K106" s="608"/>
    </row>
    <row r="107" spans="2:12" ht="15.75" x14ac:dyDescent="0.25">
      <c r="B107" s="380"/>
      <c r="C107" s="410"/>
      <c r="D107" s="410"/>
      <c r="E107" s="443"/>
      <c r="F107" s="410"/>
      <c r="G107" s="410"/>
      <c r="H107" s="410"/>
      <c r="I107" s="443"/>
      <c r="J107" s="443"/>
      <c r="K107" s="608"/>
    </row>
    <row r="108" spans="2:12" ht="15.75" outlineLevel="1" x14ac:dyDescent="0.25">
      <c r="B108" s="385" t="s">
        <v>576</v>
      </c>
      <c r="C108" s="410">
        <v>0</v>
      </c>
      <c r="D108" s="410">
        <v>0</v>
      </c>
      <c r="E108" s="444">
        <v>28982932</v>
      </c>
      <c r="F108" s="405">
        <v>12021922</v>
      </c>
      <c r="G108" s="405">
        <v>22056295</v>
      </c>
      <c r="H108" s="405">
        <v>12420574</v>
      </c>
      <c r="I108" s="444">
        <v>7690548</v>
      </c>
      <c r="J108" s="444">
        <v>7868444</v>
      </c>
      <c r="K108" s="606"/>
      <c r="L108" s="596"/>
    </row>
    <row r="109" spans="2:12" ht="15.75" outlineLevel="1" x14ac:dyDescent="0.25">
      <c r="B109" s="385" t="s">
        <v>451</v>
      </c>
      <c r="C109" s="405">
        <v>1763569</v>
      </c>
      <c r="D109" s="444">
        <v>13115647</v>
      </c>
      <c r="E109" s="444">
        <v>6708439</v>
      </c>
      <c r="F109" s="405">
        <v>12096274</v>
      </c>
      <c r="G109" s="405">
        <v>14280506</v>
      </c>
      <c r="H109" s="405">
        <v>18815535</v>
      </c>
      <c r="I109" s="444">
        <v>12673712</v>
      </c>
      <c r="J109" s="444">
        <v>11159558</v>
      </c>
      <c r="K109" s="606"/>
      <c r="L109" s="596"/>
    </row>
    <row r="110" spans="2:12" ht="15.75" outlineLevel="1" x14ac:dyDescent="0.25">
      <c r="B110" s="385" t="s">
        <v>452</v>
      </c>
      <c r="C110" s="405">
        <v>12775197</v>
      </c>
      <c r="D110" s="444">
        <v>5631255</v>
      </c>
      <c r="E110" s="444">
        <v>4837562</v>
      </c>
      <c r="F110" s="405">
        <v>8348790</v>
      </c>
      <c r="G110" s="405">
        <v>12775270</v>
      </c>
      <c r="H110" s="405">
        <v>11359580</v>
      </c>
      <c r="I110" s="444">
        <v>13632228</v>
      </c>
      <c r="J110" s="444">
        <v>19653717</v>
      </c>
      <c r="K110" s="606"/>
      <c r="L110" s="596"/>
    </row>
    <row r="111" spans="2:12" ht="15.75" outlineLevel="1" x14ac:dyDescent="0.25">
      <c r="B111" s="385" t="s">
        <v>453</v>
      </c>
      <c r="C111" s="405">
        <v>4700501</v>
      </c>
      <c r="D111" s="444">
        <v>2030236</v>
      </c>
      <c r="E111" s="444">
        <v>1851267</v>
      </c>
      <c r="F111" s="405">
        <v>996672</v>
      </c>
      <c r="G111" s="405">
        <v>1606441</v>
      </c>
      <c r="H111" s="405">
        <v>2238923</v>
      </c>
      <c r="I111" s="444">
        <v>6655516</v>
      </c>
      <c r="J111" s="444">
        <v>6844575</v>
      </c>
      <c r="K111" s="606"/>
      <c r="L111" s="596"/>
    </row>
    <row r="112" spans="2:12" ht="15.75" outlineLevel="1" x14ac:dyDescent="0.25">
      <c r="B112" s="391" t="s">
        <v>454</v>
      </c>
      <c r="C112" s="408">
        <v>693416</v>
      </c>
      <c r="D112" s="445">
        <v>718519</v>
      </c>
      <c r="E112" s="445">
        <v>610406</v>
      </c>
      <c r="F112" s="408">
        <v>907386</v>
      </c>
      <c r="G112" s="408">
        <v>926688</v>
      </c>
      <c r="H112" s="408">
        <v>206106</v>
      </c>
      <c r="I112" s="445">
        <v>1084985</v>
      </c>
      <c r="J112" s="445">
        <f>941803+3025</f>
        <v>944828</v>
      </c>
      <c r="K112" s="606"/>
      <c r="L112" s="596"/>
    </row>
    <row r="113" spans="2:12" ht="15.75" x14ac:dyDescent="0.25">
      <c r="B113" s="380" t="s">
        <v>51</v>
      </c>
      <c r="C113" s="410">
        <f>SUM(C109:C112)</f>
        <v>19932683</v>
      </c>
      <c r="D113" s="443">
        <f>SUM(D109:D112)</f>
        <v>21495657</v>
      </c>
      <c r="E113" s="443">
        <f t="shared" ref="E113:J113" si="17">SUM(E108:E112)</f>
        <v>42990606</v>
      </c>
      <c r="F113" s="443">
        <f t="shared" si="17"/>
        <v>34371044</v>
      </c>
      <c r="G113" s="443">
        <f t="shared" si="17"/>
        <v>51645200</v>
      </c>
      <c r="H113" s="443">
        <f t="shared" si="17"/>
        <v>45040718</v>
      </c>
      <c r="I113" s="443">
        <f t="shared" si="17"/>
        <v>41736989</v>
      </c>
      <c r="J113" s="443">
        <f t="shared" si="17"/>
        <v>46471122</v>
      </c>
      <c r="K113" s="608"/>
      <c r="L113" s="596"/>
    </row>
    <row r="114" spans="2:12" ht="15.75" x14ac:dyDescent="0.25">
      <c r="B114" s="380"/>
      <c r="C114" s="410"/>
      <c r="D114" s="443"/>
      <c r="E114" s="443"/>
      <c r="F114" s="410"/>
      <c r="H114" s="410"/>
      <c r="I114" s="443"/>
      <c r="J114" s="443"/>
      <c r="K114" s="608"/>
    </row>
    <row r="115" spans="2:12" ht="15.75" outlineLevel="1" x14ac:dyDescent="0.25">
      <c r="B115" s="385" t="s">
        <v>455</v>
      </c>
      <c r="C115" s="405">
        <v>189399</v>
      </c>
      <c r="D115" s="444">
        <v>444355</v>
      </c>
      <c r="E115" s="444">
        <v>152998</v>
      </c>
      <c r="F115" s="406">
        <v>621516</v>
      </c>
      <c r="G115" s="405">
        <v>574838</v>
      </c>
      <c r="H115" s="446">
        <v>134654</v>
      </c>
      <c r="I115" s="444">
        <v>353032</v>
      </c>
      <c r="J115" s="444">
        <v>494763</v>
      </c>
      <c r="K115" s="606"/>
    </row>
    <row r="116" spans="2:12" ht="15.75" outlineLevel="1" x14ac:dyDescent="0.25">
      <c r="B116" s="385" t="s">
        <v>577</v>
      </c>
      <c r="C116" s="405">
        <v>0</v>
      </c>
      <c r="D116" s="444">
        <v>0</v>
      </c>
      <c r="E116" s="444">
        <v>0</v>
      </c>
      <c r="F116" s="406">
        <v>0</v>
      </c>
      <c r="G116" s="405">
        <v>0</v>
      </c>
      <c r="H116" s="446">
        <v>0</v>
      </c>
      <c r="I116" s="526">
        <v>5400000</v>
      </c>
      <c r="J116" s="526">
        <v>0</v>
      </c>
      <c r="K116" s="616"/>
    </row>
    <row r="117" spans="2:12" ht="15.75" outlineLevel="1" x14ac:dyDescent="0.25">
      <c r="B117" s="391" t="s">
        <v>456</v>
      </c>
      <c r="C117" s="408">
        <v>42464294</v>
      </c>
      <c r="D117" s="445">
        <v>10212631</v>
      </c>
      <c r="E117" s="445">
        <v>8338710</v>
      </c>
      <c r="F117" s="408">
        <v>8012554</v>
      </c>
      <c r="G117" s="408">
        <v>8341473</v>
      </c>
      <c r="H117" s="408">
        <v>9681334</v>
      </c>
      <c r="I117" s="445">
        <v>6135747</v>
      </c>
      <c r="J117" s="445">
        <v>3668638</v>
      </c>
      <c r="K117" s="606"/>
    </row>
    <row r="118" spans="2:12" ht="15.75" x14ac:dyDescent="0.25">
      <c r="B118" s="380" t="s">
        <v>52</v>
      </c>
      <c r="C118" s="410">
        <f t="shared" ref="C118:I118" si="18">SUM(C115:C117)</f>
        <v>42653693</v>
      </c>
      <c r="D118" s="410">
        <f t="shared" si="18"/>
        <v>10656986</v>
      </c>
      <c r="E118" s="410">
        <f t="shared" si="18"/>
        <v>8491708</v>
      </c>
      <c r="F118" s="410">
        <f t="shared" si="18"/>
        <v>8634070</v>
      </c>
      <c r="G118" s="410">
        <f t="shared" si="18"/>
        <v>8916311</v>
      </c>
      <c r="H118" s="410">
        <f t="shared" si="18"/>
        <v>9815988</v>
      </c>
      <c r="I118" s="443">
        <f t="shared" si="18"/>
        <v>11888779</v>
      </c>
      <c r="J118" s="443">
        <f>SUM(J115:J117)</f>
        <v>4163401</v>
      </c>
      <c r="K118" s="608"/>
    </row>
    <row r="119" spans="2:12" ht="15.75" x14ac:dyDescent="0.25">
      <c r="B119" s="380"/>
      <c r="C119" s="410"/>
      <c r="D119" s="410"/>
      <c r="E119" s="410"/>
      <c r="F119" s="410"/>
      <c r="G119" s="410"/>
      <c r="H119" s="410"/>
      <c r="I119" s="443"/>
      <c r="J119" s="443"/>
      <c r="K119" s="608"/>
    </row>
    <row r="120" spans="2:12" ht="15.75" x14ac:dyDescent="0.25">
      <c r="B120" s="394" t="s">
        <v>48</v>
      </c>
      <c r="C120" s="447">
        <f t="shared" ref="C120:I120" si="19">C101+C106+C113+C118</f>
        <v>275873545</v>
      </c>
      <c r="D120" s="447">
        <f t="shared" si="19"/>
        <v>326703414</v>
      </c>
      <c r="E120" s="447">
        <f t="shared" si="19"/>
        <v>347199898</v>
      </c>
      <c r="F120" s="447">
        <f t="shared" si="19"/>
        <v>241600354</v>
      </c>
      <c r="G120" s="447">
        <f t="shared" si="19"/>
        <v>353351369</v>
      </c>
      <c r="H120" s="447">
        <f t="shared" si="19"/>
        <v>507482421</v>
      </c>
      <c r="I120" s="520">
        <f t="shared" si="19"/>
        <v>419147284</v>
      </c>
      <c r="J120" s="520">
        <f>J101+J106+J113+J118</f>
        <v>380767748</v>
      </c>
      <c r="K120" s="615"/>
    </row>
    <row r="121" spans="2:12" ht="15.75" x14ac:dyDescent="0.25">
      <c r="B121" s="448"/>
      <c r="C121" s="449"/>
      <c r="D121" s="449"/>
      <c r="E121" s="449"/>
      <c r="F121" s="449"/>
      <c r="G121" s="449"/>
      <c r="H121" s="449"/>
      <c r="I121" s="449"/>
      <c r="J121" s="449"/>
      <c r="K121" s="411"/>
    </row>
    <row r="122" spans="2:12" ht="16.5" thickBot="1" x14ac:dyDescent="0.3">
      <c r="B122" s="450" t="s">
        <v>8</v>
      </c>
      <c r="C122" s="451">
        <f t="shared" ref="C122:I122" si="20">C120+C91</f>
        <v>1157773631</v>
      </c>
      <c r="D122" s="451">
        <f t="shared" si="20"/>
        <v>1193338755</v>
      </c>
      <c r="E122" s="451">
        <f t="shared" si="20"/>
        <v>1186882336</v>
      </c>
      <c r="F122" s="451">
        <f t="shared" si="20"/>
        <v>1047487480</v>
      </c>
      <c r="G122" s="451">
        <f t="shared" si="20"/>
        <v>1098810246</v>
      </c>
      <c r="H122" s="451">
        <f t="shared" si="20"/>
        <v>1237177827</v>
      </c>
      <c r="I122" s="451">
        <f t="shared" si="20"/>
        <v>1137168771</v>
      </c>
      <c r="J122" s="451">
        <f>J120+J91</f>
        <v>1090698330.0800002</v>
      </c>
      <c r="K122" s="630"/>
    </row>
    <row r="123" spans="2:12" ht="16.5" thickTop="1" x14ac:dyDescent="0.25">
      <c r="B123" s="385"/>
      <c r="C123" s="440"/>
      <c r="D123" s="440"/>
      <c r="E123" s="440"/>
      <c r="F123" s="440"/>
      <c r="G123" s="440"/>
      <c r="H123" s="440"/>
      <c r="I123" s="440"/>
      <c r="J123" s="440"/>
      <c r="K123" s="629"/>
    </row>
    <row r="124" spans="2:12" ht="15.75" x14ac:dyDescent="0.25">
      <c r="B124" s="452" t="s">
        <v>62</v>
      </c>
      <c r="C124" s="453"/>
      <c r="D124" s="453"/>
      <c r="E124" s="453"/>
      <c r="F124" s="453"/>
      <c r="G124" s="453"/>
      <c r="H124" s="453"/>
      <c r="I124" s="521"/>
      <c r="J124" s="521"/>
      <c r="K124" s="617"/>
    </row>
    <row r="125" spans="2:12" ht="15.75" outlineLevel="1" x14ac:dyDescent="0.25">
      <c r="B125" s="385" t="s">
        <v>54</v>
      </c>
      <c r="C125" s="454">
        <f>348750000+26250000</f>
        <v>375000000</v>
      </c>
      <c r="D125" s="405">
        <v>375000000</v>
      </c>
      <c r="E125" s="405">
        <v>375000000</v>
      </c>
      <c r="F125" s="405">
        <v>375000000</v>
      </c>
      <c r="G125" s="405">
        <v>375000000</v>
      </c>
      <c r="H125" s="405">
        <v>450000000</v>
      </c>
      <c r="I125" s="444">
        <v>450000000</v>
      </c>
      <c r="J125" s="444">
        <v>450000000</v>
      </c>
      <c r="K125" s="606"/>
    </row>
    <row r="126" spans="2:12" ht="15.75" outlineLevel="1" x14ac:dyDescent="0.25">
      <c r="B126" s="385" t="s">
        <v>55</v>
      </c>
      <c r="C126" s="405">
        <v>13152955</v>
      </c>
      <c r="D126" s="405">
        <v>13152955</v>
      </c>
      <c r="E126" s="405">
        <v>13152955</v>
      </c>
      <c r="F126" s="405">
        <v>13152955</v>
      </c>
      <c r="G126" s="405">
        <v>18578520</v>
      </c>
      <c r="H126" s="405">
        <v>23344432</v>
      </c>
      <c r="I126" s="444">
        <v>23344432</v>
      </c>
      <c r="J126" s="444">
        <v>23344432</v>
      </c>
      <c r="K126" s="606"/>
    </row>
    <row r="127" spans="2:12" ht="15.75" outlineLevel="1" x14ac:dyDescent="0.25">
      <c r="B127" s="385" t="s">
        <v>113</v>
      </c>
      <c r="C127" s="405">
        <v>10000000</v>
      </c>
      <c r="D127" s="405">
        <v>10000000</v>
      </c>
      <c r="E127" s="405">
        <v>10000000</v>
      </c>
      <c r="F127" s="405">
        <v>10000000</v>
      </c>
      <c r="G127" s="405">
        <v>10000000</v>
      </c>
      <c r="H127" s="405">
        <v>0</v>
      </c>
      <c r="I127" s="444">
        <v>0</v>
      </c>
      <c r="J127" s="444">
        <v>0</v>
      </c>
      <c r="K127" s="606"/>
    </row>
    <row r="128" spans="2:12" ht="15.75" outlineLevel="1" x14ac:dyDescent="0.25">
      <c r="B128" s="391" t="s">
        <v>114</v>
      </c>
      <c r="C128" s="455">
        <v>-99344147</v>
      </c>
      <c r="D128" s="455">
        <v>-22521080</v>
      </c>
      <c r="E128" s="455">
        <v>-15758911</v>
      </c>
      <c r="F128" s="455">
        <v>-50944900</v>
      </c>
      <c r="G128" s="408">
        <v>46598989</v>
      </c>
      <c r="H128" s="408">
        <v>161280906</v>
      </c>
      <c r="I128" s="445">
        <v>55612708</v>
      </c>
      <c r="J128" s="445">
        <v>26328642</v>
      </c>
      <c r="K128" s="606"/>
    </row>
    <row r="129" spans="2:11" ht="15.75" x14ac:dyDescent="0.25">
      <c r="B129" s="456" t="s">
        <v>56</v>
      </c>
      <c r="C129" s="457">
        <f t="shared" ref="C129:I129" si="21">SUM(C125:C128)</f>
        <v>298808808</v>
      </c>
      <c r="D129" s="457">
        <f t="shared" si="21"/>
        <v>375631875</v>
      </c>
      <c r="E129" s="457">
        <f t="shared" si="21"/>
        <v>382394044</v>
      </c>
      <c r="F129" s="457">
        <f t="shared" si="21"/>
        <v>347208055</v>
      </c>
      <c r="G129" s="457">
        <f t="shared" si="21"/>
        <v>450177509</v>
      </c>
      <c r="H129" s="457">
        <f t="shared" si="21"/>
        <v>634625338</v>
      </c>
      <c r="I129" s="522">
        <f t="shared" si="21"/>
        <v>528957140</v>
      </c>
      <c r="J129" s="522">
        <f>SUM(J125:J128)</f>
        <v>499673074</v>
      </c>
      <c r="K129" s="608"/>
    </row>
    <row r="130" spans="2:11" ht="15.75" x14ac:dyDescent="0.25">
      <c r="B130" s="385"/>
      <c r="C130" s="384"/>
      <c r="D130" s="384"/>
      <c r="E130" s="384"/>
      <c r="F130" s="384"/>
      <c r="G130" s="384"/>
      <c r="H130" s="384"/>
      <c r="I130" s="384"/>
      <c r="J130" s="384"/>
      <c r="K130" s="411"/>
    </row>
    <row r="131" spans="2:11" ht="15.75" outlineLevel="1" x14ac:dyDescent="0.25">
      <c r="B131" s="385" t="s">
        <v>457</v>
      </c>
      <c r="C131" s="405">
        <v>179265366</v>
      </c>
      <c r="D131" s="405">
        <v>140135286</v>
      </c>
      <c r="E131" s="405">
        <v>90196058</v>
      </c>
      <c r="F131" s="405">
        <v>144032738</v>
      </c>
      <c r="G131" s="405">
        <v>111671769</v>
      </c>
      <c r="H131" s="405">
        <v>111993725</v>
      </c>
      <c r="I131" s="444">
        <v>128214696</v>
      </c>
      <c r="J131" s="444">
        <v>96184450</v>
      </c>
      <c r="K131" s="606"/>
    </row>
    <row r="132" spans="2:11" ht="15.75" outlineLevel="1" x14ac:dyDescent="0.25">
      <c r="B132" s="385" t="s">
        <v>458</v>
      </c>
      <c r="C132" s="405">
        <v>162000000</v>
      </c>
      <c r="D132" s="405">
        <v>157000000</v>
      </c>
      <c r="E132" s="405">
        <v>132000000</v>
      </c>
      <c r="F132" s="405">
        <v>107000000</v>
      </c>
      <c r="G132" s="405">
        <v>72000000</v>
      </c>
      <c r="H132" s="405">
        <v>26000000</v>
      </c>
      <c r="I132" s="444">
        <v>0</v>
      </c>
      <c r="J132" s="444">
        <v>0</v>
      </c>
      <c r="K132" s="606"/>
    </row>
    <row r="133" spans="2:11" ht="15.75" outlineLevel="1" x14ac:dyDescent="0.25">
      <c r="B133" s="385" t="s">
        <v>578</v>
      </c>
      <c r="C133" s="405">
        <v>-178098683</v>
      </c>
      <c r="D133" s="405">
        <v>-94939225</v>
      </c>
      <c r="E133" s="405">
        <v>-123142910</v>
      </c>
      <c r="F133" s="405">
        <v>-67186753</v>
      </c>
      <c r="G133" s="405">
        <v>-85678042</v>
      </c>
      <c r="H133" s="405">
        <v>-70863227</v>
      </c>
      <c r="I133" s="444">
        <v>-58946986</v>
      </c>
      <c r="J133" s="444">
        <v>-40232391</v>
      </c>
      <c r="K133" s="606"/>
    </row>
    <row r="134" spans="2:11" ht="15.75" outlineLevel="1" x14ac:dyDescent="0.25">
      <c r="B134" s="391" t="s">
        <v>459</v>
      </c>
      <c r="C134" s="408">
        <v>-5221679</v>
      </c>
      <c r="D134" s="408">
        <v>-3888190</v>
      </c>
      <c r="E134" s="408">
        <v>-1437446</v>
      </c>
      <c r="F134" s="408">
        <v>-636578</v>
      </c>
      <c r="G134" s="408">
        <v>-109145</v>
      </c>
      <c r="H134" s="408">
        <v>0</v>
      </c>
      <c r="I134" s="445"/>
      <c r="J134" s="445">
        <v>0</v>
      </c>
      <c r="K134" s="606"/>
    </row>
    <row r="135" spans="2:11" ht="15.75" x14ac:dyDescent="0.25">
      <c r="B135" s="380" t="s">
        <v>108</v>
      </c>
      <c r="C135" s="410">
        <f t="shared" ref="C135:I135" si="22">SUM(C131:C134)</f>
        <v>157945004</v>
      </c>
      <c r="D135" s="410">
        <f t="shared" si="22"/>
        <v>198307871</v>
      </c>
      <c r="E135" s="410">
        <f t="shared" si="22"/>
        <v>97615702</v>
      </c>
      <c r="F135" s="410">
        <f t="shared" si="22"/>
        <v>183209407</v>
      </c>
      <c r="G135" s="410">
        <f t="shared" si="22"/>
        <v>97884582</v>
      </c>
      <c r="H135" s="410">
        <f t="shared" si="22"/>
        <v>67130498</v>
      </c>
      <c r="I135" s="443">
        <f t="shared" si="22"/>
        <v>69267710</v>
      </c>
      <c r="J135" s="443">
        <f>SUM(J131:J134)</f>
        <v>55952059</v>
      </c>
      <c r="K135" s="608"/>
    </row>
    <row r="136" spans="2:11" ht="15.75" x14ac:dyDescent="0.25">
      <c r="B136" s="385"/>
      <c r="C136" s="405"/>
      <c r="D136" s="405"/>
      <c r="E136" s="410"/>
      <c r="F136" s="410"/>
      <c r="G136" s="405"/>
      <c r="H136" s="405"/>
      <c r="I136" s="444"/>
      <c r="J136" s="444"/>
      <c r="K136" s="606"/>
    </row>
    <row r="137" spans="2:11" ht="15.75" outlineLevel="1" x14ac:dyDescent="0.25">
      <c r="B137" s="391" t="s">
        <v>460</v>
      </c>
      <c r="C137" s="408">
        <v>-1842714</v>
      </c>
      <c r="D137" s="408">
        <v>-4816591</v>
      </c>
      <c r="E137" s="408">
        <v>-1795267</v>
      </c>
      <c r="F137" s="408">
        <v>-4046916</v>
      </c>
      <c r="G137" s="408">
        <v>-2446783</v>
      </c>
      <c r="H137" s="408">
        <v>-970913</v>
      </c>
      <c r="I137" s="445">
        <v>-4472668</v>
      </c>
      <c r="J137" s="445">
        <v>0</v>
      </c>
      <c r="K137" s="606"/>
    </row>
    <row r="138" spans="2:11" ht="15.75" x14ac:dyDescent="0.25">
      <c r="B138" s="380" t="s">
        <v>57</v>
      </c>
      <c r="C138" s="410">
        <v>34123925</v>
      </c>
      <c r="D138" s="410">
        <v>35544762</v>
      </c>
      <c r="E138" s="410">
        <v>35500501</v>
      </c>
      <c r="F138" s="410">
        <v>35882128</v>
      </c>
      <c r="G138" s="410">
        <v>39831613</v>
      </c>
      <c r="H138" s="410">
        <v>48107322</v>
      </c>
      <c r="I138" s="443">
        <v>48766362</v>
      </c>
      <c r="J138" s="443">
        <v>49975669</v>
      </c>
      <c r="K138" s="608"/>
    </row>
    <row r="139" spans="2:11" ht="15.75" x14ac:dyDescent="0.25">
      <c r="B139" s="385"/>
      <c r="C139" s="405"/>
      <c r="D139" s="405"/>
      <c r="E139" s="405"/>
      <c r="F139" s="405"/>
      <c r="G139" s="405"/>
      <c r="H139" s="405"/>
      <c r="I139" s="444"/>
      <c r="J139" s="444"/>
      <c r="K139" s="606"/>
    </row>
    <row r="140" spans="2:11" ht="15.75" x14ac:dyDescent="0.25">
      <c r="B140" s="380" t="s">
        <v>109</v>
      </c>
      <c r="C140" s="410">
        <v>0</v>
      </c>
      <c r="D140" s="410">
        <v>0</v>
      </c>
      <c r="E140" s="410">
        <v>8512812</v>
      </c>
      <c r="F140" s="410">
        <v>8712179</v>
      </c>
      <c r="G140" s="410">
        <v>10854739</v>
      </c>
      <c r="H140" s="410">
        <v>7929201</v>
      </c>
      <c r="I140" s="443">
        <v>7206799</v>
      </c>
      <c r="J140" s="443">
        <v>11479954</v>
      </c>
      <c r="K140" s="608"/>
    </row>
    <row r="141" spans="2:11" ht="15.75" x14ac:dyDescent="0.25">
      <c r="B141" s="385"/>
      <c r="C141" s="405"/>
      <c r="D141" s="405"/>
      <c r="E141" s="405"/>
      <c r="F141" s="405"/>
      <c r="G141" s="405"/>
      <c r="H141" s="405"/>
      <c r="I141" s="444"/>
      <c r="J141" s="444"/>
      <c r="K141" s="606"/>
    </row>
    <row r="142" spans="2:11" ht="15.75" x14ac:dyDescent="0.25">
      <c r="B142" s="438" t="s">
        <v>10</v>
      </c>
      <c r="C142" s="439">
        <f t="shared" ref="C142:H142" si="23">C135+C138+C140</f>
        <v>192068929</v>
      </c>
      <c r="D142" s="439">
        <f t="shared" si="23"/>
        <v>233852633</v>
      </c>
      <c r="E142" s="439">
        <f t="shared" si="23"/>
        <v>141629015</v>
      </c>
      <c r="F142" s="439">
        <f t="shared" si="23"/>
        <v>227803714</v>
      </c>
      <c r="G142" s="439">
        <f t="shared" si="23"/>
        <v>148570934</v>
      </c>
      <c r="H142" s="439">
        <f t="shared" si="23"/>
        <v>123167021</v>
      </c>
      <c r="I142" s="519">
        <f>I135+I138+I140</f>
        <v>125240871</v>
      </c>
      <c r="J142" s="519">
        <f>J135+J138+J140</f>
        <v>117407682</v>
      </c>
      <c r="K142" s="615"/>
    </row>
    <row r="143" spans="2:11" ht="15.75" x14ac:dyDescent="0.25">
      <c r="B143" s="385"/>
      <c r="C143" s="384"/>
      <c r="D143" s="384"/>
      <c r="E143" s="384"/>
      <c r="F143" s="384"/>
      <c r="G143" s="384"/>
      <c r="H143" s="384"/>
      <c r="I143" s="384"/>
      <c r="J143" s="384"/>
      <c r="K143" s="411"/>
    </row>
    <row r="144" spans="2:11" ht="15.75" x14ac:dyDescent="0.25">
      <c r="B144" s="385" t="s">
        <v>59</v>
      </c>
      <c r="C144" s="405">
        <v>111888591</v>
      </c>
      <c r="D144" s="405">
        <v>118922776</v>
      </c>
      <c r="E144" s="405">
        <v>133110309</v>
      </c>
      <c r="F144" s="405">
        <v>84954008</v>
      </c>
      <c r="G144" s="405">
        <v>115922011</v>
      </c>
      <c r="H144" s="444">
        <v>125275343</v>
      </c>
      <c r="I144" s="441">
        <v>107468896</v>
      </c>
      <c r="J144" s="441">
        <v>145228527</v>
      </c>
      <c r="K144" s="613"/>
    </row>
    <row r="145" spans="2:12" ht="15.75" x14ac:dyDescent="0.25">
      <c r="B145" s="385"/>
      <c r="C145" s="405"/>
      <c r="D145" s="405"/>
      <c r="E145" s="405"/>
      <c r="F145" s="405"/>
      <c r="G145" s="405"/>
      <c r="H145" s="405"/>
      <c r="I145" s="441"/>
      <c r="J145" s="441"/>
      <c r="K145" s="613"/>
    </row>
    <row r="146" spans="2:12" ht="15.75" outlineLevel="2" x14ac:dyDescent="0.25">
      <c r="B146" s="385" t="s">
        <v>461</v>
      </c>
      <c r="C146" s="405">
        <v>11192981</v>
      </c>
      <c r="D146" s="405">
        <v>11355180</v>
      </c>
      <c r="E146" s="405">
        <v>13558947</v>
      </c>
      <c r="F146" s="405">
        <v>10800319</v>
      </c>
      <c r="G146" s="405">
        <v>7418259</v>
      </c>
      <c r="H146" s="405">
        <v>8344711</v>
      </c>
      <c r="I146" s="441">
        <v>10891334</v>
      </c>
      <c r="J146" s="560"/>
      <c r="K146" s="613"/>
    </row>
    <row r="147" spans="2:12" ht="15.75" outlineLevel="2" x14ac:dyDescent="0.25">
      <c r="B147" s="385" t="s">
        <v>462</v>
      </c>
      <c r="C147" s="405">
        <v>890816</v>
      </c>
      <c r="D147" s="405">
        <v>0</v>
      </c>
      <c r="E147" s="405">
        <v>1047212</v>
      </c>
      <c r="F147" s="405">
        <v>1071815</v>
      </c>
      <c r="G147" s="405">
        <v>1964266</v>
      </c>
      <c r="H147" s="405">
        <v>0</v>
      </c>
      <c r="I147" s="441">
        <v>0</v>
      </c>
      <c r="J147" s="560"/>
      <c r="K147" s="613"/>
    </row>
    <row r="148" spans="2:12" ht="15.75" outlineLevel="2" x14ac:dyDescent="0.25">
      <c r="B148" s="391" t="s">
        <v>463</v>
      </c>
      <c r="C148" s="408">
        <v>675685</v>
      </c>
      <c r="D148" s="408">
        <v>147040</v>
      </c>
      <c r="E148" s="408">
        <v>263899</v>
      </c>
      <c r="F148" s="408">
        <v>473248</v>
      </c>
      <c r="G148" s="408">
        <v>356829</v>
      </c>
      <c r="H148" s="408">
        <v>330678</v>
      </c>
      <c r="I148" s="516">
        <v>1250509</v>
      </c>
      <c r="J148" s="561">
        <v>0</v>
      </c>
      <c r="K148" s="613"/>
    </row>
    <row r="149" spans="2:12" ht="15.75" x14ac:dyDescent="0.25">
      <c r="B149" s="380" t="s">
        <v>464</v>
      </c>
      <c r="C149" s="410">
        <f>SUM(C146:C148)</f>
        <v>12759482</v>
      </c>
      <c r="D149" s="410">
        <f>SUM(D146:D148)</f>
        <v>11502220</v>
      </c>
      <c r="E149" s="410">
        <f>SUM(E146:E148)</f>
        <v>14870058</v>
      </c>
      <c r="F149" s="410">
        <f>SUM(F146:F148)</f>
        <v>12345382</v>
      </c>
      <c r="G149" s="458">
        <f>SUM(G146:G148)-5</f>
        <v>9739349</v>
      </c>
      <c r="H149" s="410">
        <f>SUM(H146:H148)</f>
        <v>8675389</v>
      </c>
      <c r="I149" s="523">
        <f>SUM(I146:I148)</f>
        <v>12141843</v>
      </c>
      <c r="J149" s="562">
        <f>SUM(J146:J148)</f>
        <v>0</v>
      </c>
      <c r="K149" s="614"/>
      <c r="L149" s="638"/>
    </row>
    <row r="150" spans="2:12" ht="15.75" x14ac:dyDescent="0.25">
      <c r="B150" s="385"/>
      <c r="C150" s="405"/>
      <c r="D150" s="405"/>
      <c r="E150" s="405"/>
      <c r="F150" s="405"/>
      <c r="G150" s="405"/>
      <c r="H150" s="405"/>
      <c r="I150" s="441"/>
      <c r="J150" s="441"/>
      <c r="K150" s="613"/>
      <c r="L150" s="638"/>
    </row>
    <row r="151" spans="2:12" ht="15.75" outlineLevel="1" x14ac:dyDescent="0.25">
      <c r="B151" s="385" t="s">
        <v>465</v>
      </c>
      <c r="C151" s="405">
        <v>5387369</v>
      </c>
      <c r="D151" s="405">
        <v>2652076</v>
      </c>
      <c r="E151" s="405">
        <v>9144532</v>
      </c>
      <c r="F151" s="405">
        <v>10201277</v>
      </c>
      <c r="G151" s="405">
        <v>26877719</v>
      </c>
      <c r="H151" s="405">
        <v>2771596</v>
      </c>
      <c r="I151" s="441">
        <v>8454295</v>
      </c>
      <c r="J151" s="441">
        <v>7775262</v>
      </c>
      <c r="K151" s="613"/>
      <c r="L151" s="638"/>
    </row>
    <row r="152" spans="2:12" ht="15.75" outlineLevel="1" x14ac:dyDescent="0.25">
      <c r="B152" s="385" t="s">
        <v>466</v>
      </c>
      <c r="C152" s="405">
        <v>8746671</v>
      </c>
      <c r="D152" s="405">
        <v>4646857</v>
      </c>
      <c r="E152" s="405">
        <v>5079418</v>
      </c>
      <c r="F152" s="405">
        <v>6878842</v>
      </c>
      <c r="G152" s="405">
        <v>13174360</v>
      </c>
      <c r="H152" s="405">
        <v>17967616</v>
      </c>
      <c r="I152" s="441">
        <v>13507707</v>
      </c>
      <c r="J152" s="441">
        <v>14883600</v>
      </c>
      <c r="K152" s="613"/>
      <c r="L152" s="638"/>
    </row>
    <row r="153" spans="2:12" ht="15.75" outlineLevel="1" x14ac:dyDescent="0.25">
      <c r="B153" s="385" t="s">
        <v>467</v>
      </c>
      <c r="C153" s="405">
        <v>7753243</v>
      </c>
      <c r="D153" s="405">
        <v>7179853</v>
      </c>
      <c r="E153" s="405">
        <v>3888437</v>
      </c>
      <c r="F153" s="405">
        <v>3816998</v>
      </c>
      <c r="G153" s="405">
        <v>2770678</v>
      </c>
      <c r="H153" s="405">
        <v>1221413</v>
      </c>
      <c r="I153" s="441">
        <v>10203443</v>
      </c>
      <c r="J153" s="441">
        <v>2564292</v>
      </c>
      <c r="K153" s="613"/>
      <c r="L153" s="638"/>
    </row>
    <row r="154" spans="2:12" ht="15.75" outlineLevel="1" x14ac:dyDescent="0.25">
      <c r="B154" s="385" t="s">
        <v>468</v>
      </c>
      <c r="C154" s="405">
        <v>2726410</v>
      </c>
      <c r="D154" s="405">
        <v>3551430</v>
      </c>
      <c r="E154" s="405">
        <v>2658441</v>
      </c>
      <c r="F154" s="405">
        <v>2267215</v>
      </c>
      <c r="G154" s="405">
        <v>786716</v>
      </c>
      <c r="H154" s="405">
        <v>1273130</v>
      </c>
      <c r="I154" s="441">
        <v>1217731</v>
      </c>
      <c r="J154" s="441">
        <v>1421200</v>
      </c>
      <c r="K154" s="613"/>
      <c r="L154" s="638"/>
    </row>
    <row r="155" spans="2:12" ht="15.75" outlineLevel="1" x14ac:dyDescent="0.25">
      <c r="B155" s="391" t="s">
        <v>415</v>
      </c>
      <c r="C155" s="408">
        <v>592503</v>
      </c>
      <c r="D155" s="408">
        <v>2133404</v>
      </c>
      <c r="E155" s="408">
        <v>223837</v>
      </c>
      <c r="F155" s="408">
        <v>720000</v>
      </c>
      <c r="G155" s="392">
        <f>1187833+2673053</f>
        <v>3860886</v>
      </c>
      <c r="H155" s="392">
        <f>3500419+4269749+11475</f>
        <v>7781643</v>
      </c>
      <c r="I155" s="516">
        <f>275403+11475+318100</f>
        <v>604978</v>
      </c>
      <c r="J155" s="516">
        <f>2667632+1565676+11475</f>
        <v>4244783</v>
      </c>
      <c r="K155" s="618"/>
      <c r="L155" s="638"/>
    </row>
    <row r="156" spans="2:12" ht="15.75" x14ac:dyDescent="0.25">
      <c r="B156" s="380" t="s">
        <v>60</v>
      </c>
      <c r="C156" s="410">
        <f t="shared" ref="C156:J156" si="24">SUM(C149:C155)</f>
        <v>37965678</v>
      </c>
      <c r="D156" s="410">
        <f t="shared" si="24"/>
        <v>31665840</v>
      </c>
      <c r="E156" s="410">
        <f t="shared" si="24"/>
        <v>35864723</v>
      </c>
      <c r="F156" s="410">
        <f t="shared" si="24"/>
        <v>36229714</v>
      </c>
      <c r="G156" s="410">
        <f t="shared" si="24"/>
        <v>57209708</v>
      </c>
      <c r="H156" s="410">
        <f t="shared" si="24"/>
        <v>39690787</v>
      </c>
      <c r="I156" s="523">
        <f t="shared" si="24"/>
        <v>46129997</v>
      </c>
      <c r="J156" s="523">
        <f t="shared" si="24"/>
        <v>30889137</v>
      </c>
      <c r="K156" s="619"/>
      <c r="L156" s="638"/>
    </row>
    <row r="157" spans="2:12" ht="15.75" x14ac:dyDescent="0.25">
      <c r="B157" s="385"/>
      <c r="C157" s="405"/>
      <c r="D157" s="405"/>
      <c r="E157" s="410"/>
      <c r="F157" s="410"/>
      <c r="G157" s="410"/>
      <c r="H157" s="410"/>
      <c r="I157" s="524"/>
      <c r="J157" s="524"/>
      <c r="K157" s="631"/>
      <c r="L157" s="638"/>
    </row>
    <row r="158" spans="2:12" ht="15.75" x14ac:dyDescent="0.25">
      <c r="B158" s="385" t="s">
        <v>110</v>
      </c>
      <c r="C158" s="405">
        <v>338505763</v>
      </c>
      <c r="D158" s="405">
        <v>336032374</v>
      </c>
      <c r="E158" s="444">
        <v>369448865</v>
      </c>
      <c r="F158" s="444">
        <v>282427627</v>
      </c>
      <c r="G158" s="405">
        <v>234920846</v>
      </c>
      <c r="H158" s="405">
        <v>232512353</v>
      </c>
      <c r="I158" s="441">
        <v>267678203</v>
      </c>
      <c r="J158" s="441">
        <v>250163701</v>
      </c>
      <c r="K158" s="613"/>
      <c r="L158" s="638"/>
    </row>
    <row r="159" spans="2:12" ht="15.75" x14ac:dyDescent="0.25">
      <c r="B159" s="385"/>
      <c r="C159" s="405"/>
      <c r="D159" s="405"/>
      <c r="E159" s="444"/>
      <c r="F159" s="444"/>
      <c r="G159" s="405"/>
      <c r="H159" s="405"/>
      <c r="I159" s="441"/>
      <c r="J159" s="441"/>
      <c r="K159" s="613"/>
      <c r="L159" s="638"/>
    </row>
    <row r="160" spans="2:12" ht="15.75" x14ac:dyDescent="0.25">
      <c r="B160" s="385" t="s">
        <v>823</v>
      </c>
      <c r="C160" s="405">
        <v>178098683</v>
      </c>
      <c r="D160" s="405">
        <v>94939225</v>
      </c>
      <c r="E160" s="444">
        <v>123142910</v>
      </c>
      <c r="F160" s="444">
        <v>67186753</v>
      </c>
      <c r="G160" s="405">
        <v>85678042</v>
      </c>
      <c r="H160" s="405">
        <v>70863227</v>
      </c>
      <c r="I160" s="441">
        <v>58946986</v>
      </c>
      <c r="J160" s="560">
        <v>40232391</v>
      </c>
      <c r="K160" s="613"/>
      <c r="L160" s="638"/>
    </row>
    <row r="161" spans="2:12" ht="15.75" x14ac:dyDescent="0.25">
      <c r="B161" s="385"/>
      <c r="C161" s="405"/>
      <c r="D161" s="405"/>
      <c r="E161" s="444"/>
      <c r="F161" s="444"/>
      <c r="G161" s="405"/>
      <c r="H161" s="405"/>
      <c r="I161" s="441"/>
      <c r="J161" s="441"/>
      <c r="K161" s="613"/>
      <c r="L161" s="638"/>
    </row>
    <row r="162" spans="2:12" ht="15.75" x14ac:dyDescent="0.25">
      <c r="B162" s="385" t="s">
        <v>61</v>
      </c>
      <c r="C162" s="405">
        <v>0</v>
      </c>
      <c r="D162" s="405">
        <v>0</v>
      </c>
      <c r="E162" s="444">
        <v>600639</v>
      </c>
      <c r="F162" s="444">
        <v>829708</v>
      </c>
      <c r="G162" s="405">
        <v>3189010</v>
      </c>
      <c r="H162" s="405">
        <v>3027121</v>
      </c>
      <c r="I162" s="441">
        <v>992455</v>
      </c>
      <c r="J162" s="441">
        <v>5544675</v>
      </c>
      <c r="K162" s="613"/>
      <c r="L162" s="638"/>
    </row>
    <row r="163" spans="2:12" ht="15.75" x14ac:dyDescent="0.25">
      <c r="B163" s="385"/>
      <c r="C163" s="405"/>
      <c r="D163" s="405"/>
      <c r="E163" s="444"/>
      <c r="F163" s="444"/>
      <c r="G163" s="405"/>
      <c r="H163" s="405"/>
      <c r="I163" s="441"/>
      <c r="J163" s="441"/>
      <c r="K163" s="613"/>
      <c r="L163" s="638"/>
    </row>
    <row r="164" spans="2:12" ht="15.75" x14ac:dyDescent="0.25">
      <c r="B164" s="385" t="s">
        <v>112</v>
      </c>
      <c r="C164" s="405">
        <v>437179</v>
      </c>
      <c r="D164" s="405">
        <v>2294032</v>
      </c>
      <c r="E164" s="444">
        <v>691831</v>
      </c>
      <c r="F164" s="444">
        <v>847901</v>
      </c>
      <c r="G164" s="405">
        <v>3142187</v>
      </c>
      <c r="H164" s="405">
        <v>8016637</v>
      </c>
      <c r="I164" s="441">
        <v>1754223</v>
      </c>
      <c r="J164" s="441">
        <v>1559142</v>
      </c>
      <c r="K164" s="613"/>
      <c r="L164" s="638"/>
    </row>
    <row r="165" spans="2:12" ht="15.75" x14ac:dyDescent="0.25">
      <c r="B165" s="385"/>
      <c r="C165" s="405"/>
      <c r="D165" s="405"/>
      <c r="E165" s="405"/>
      <c r="F165" s="405"/>
      <c r="G165" s="405"/>
      <c r="H165" s="405"/>
      <c r="I165" s="441"/>
      <c r="J165" s="441"/>
      <c r="K165" s="613"/>
    </row>
    <row r="166" spans="2:12" ht="15.75" x14ac:dyDescent="0.25">
      <c r="B166" s="438" t="s">
        <v>9</v>
      </c>
      <c r="C166" s="439">
        <f>C144+C156+C158+C160+C162+C164</f>
        <v>666895894</v>
      </c>
      <c r="D166" s="439">
        <f t="shared" ref="D166:J166" si="25">+D144+D156+D158+D160+D162+D164</f>
        <v>583854247</v>
      </c>
      <c r="E166" s="439">
        <f t="shared" si="25"/>
        <v>662859277</v>
      </c>
      <c r="F166" s="439">
        <f t="shared" si="25"/>
        <v>472475711</v>
      </c>
      <c r="G166" s="439">
        <f t="shared" si="25"/>
        <v>500061804</v>
      </c>
      <c r="H166" s="439">
        <f t="shared" si="25"/>
        <v>479385468</v>
      </c>
      <c r="I166" s="525">
        <f>+I144+I156+I158+I160+I162+I164</f>
        <v>482970760</v>
      </c>
      <c r="J166" s="525">
        <f t="shared" si="25"/>
        <v>473617573</v>
      </c>
      <c r="K166" s="620"/>
    </row>
    <row r="167" spans="2:12" ht="15.75" x14ac:dyDescent="0.25">
      <c r="B167" s="385"/>
      <c r="C167" s="384"/>
      <c r="D167" s="384"/>
      <c r="E167" s="384"/>
      <c r="F167" s="384"/>
      <c r="G167" s="384"/>
      <c r="H167" s="384"/>
      <c r="I167" s="384"/>
      <c r="J167" s="384"/>
      <c r="K167" s="411"/>
    </row>
    <row r="168" spans="2:12" ht="16.5" thickBot="1" x14ac:dyDescent="0.3">
      <c r="B168" s="450" t="s">
        <v>58</v>
      </c>
      <c r="C168" s="451">
        <f t="shared" ref="C168:H168" si="26">C166+C129+C142</f>
        <v>1157773631</v>
      </c>
      <c r="D168" s="451">
        <f t="shared" si="26"/>
        <v>1193338755</v>
      </c>
      <c r="E168" s="451">
        <f t="shared" si="26"/>
        <v>1186882336</v>
      </c>
      <c r="F168" s="451">
        <f t="shared" si="26"/>
        <v>1047487480</v>
      </c>
      <c r="G168" s="451">
        <f t="shared" si="26"/>
        <v>1098810247</v>
      </c>
      <c r="H168" s="451">
        <f t="shared" si="26"/>
        <v>1237177827</v>
      </c>
      <c r="I168" s="451">
        <f>I166+I129+I142</f>
        <v>1137168771</v>
      </c>
      <c r="J168" s="451">
        <f>J166+J129+J142</f>
        <v>1090698329</v>
      </c>
      <c r="K168" s="630"/>
    </row>
    <row r="169" spans="2:12" ht="16.5" thickTop="1" x14ac:dyDescent="0.25">
      <c r="B169" s="459"/>
      <c r="C169" s="460"/>
      <c r="D169" s="460"/>
      <c r="E169" s="460"/>
      <c r="F169" s="460"/>
      <c r="G169" s="460"/>
      <c r="H169" s="460"/>
      <c r="I169" s="460"/>
      <c r="J169" s="460"/>
      <c r="K169" s="411"/>
    </row>
    <row r="170" spans="2:12" ht="15.75" x14ac:dyDescent="0.25">
      <c r="B170" s="461" t="s">
        <v>11</v>
      </c>
      <c r="C170" s="462">
        <f t="shared" ref="C170:I170" si="27">C122-C168</f>
        <v>0</v>
      </c>
      <c r="D170" s="462">
        <f t="shared" si="27"/>
        <v>0</v>
      </c>
      <c r="E170" s="462">
        <f>E122-E168</f>
        <v>0</v>
      </c>
      <c r="F170" s="462">
        <f t="shared" si="27"/>
        <v>0</v>
      </c>
      <c r="G170" s="462">
        <f t="shared" si="27"/>
        <v>-1</v>
      </c>
      <c r="H170" s="462">
        <f t="shared" si="27"/>
        <v>0</v>
      </c>
      <c r="I170" s="463">
        <f t="shared" si="27"/>
        <v>0</v>
      </c>
      <c r="J170" s="463">
        <f>J122-J168</f>
        <v>1.0800001621246338</v>
      </c>
      <c r="K170" s="621"/>
    </row>
    <row r="173" spans="2:12" ht="18.75" x14ac:dyDescent="0.3">
      <c r="B173" s="464" t="s">
        <v>304</v>
      </c>
    </row>
    <row r="174" spans="2:12" ht="18.75" x14ac:dyDescent="0.3">
      <c r="B174" s="465" t="s">
        <v>469</v>
      </c>
    </row>
    <row r="175" spans="2:12" ht="18.75" x14ac:dyDescent="0.3">
      <c r="B175" s="466" t="s">
        <v>470</v>
      </c>
    </row>
    <row r="176" spans="2:12" ht="18.75" x14ac:dyDescent="0.3">
      <c r="B176" s="467" t="s">
        <v>471</v>
      </c>
    </row>
    <row r="177" spans="2:2" ht="18.75" x14ac:dyDescent="0.3">
      <c r="B177" s="467" t="s">
        <v>472</v>
      </c>
    </row>
    <row r="178" spans="2:2" ht="18.75" x14ac:dyDescent="0.3">
      <c r="B178" s="467" t="s">
        <v>473</v>
      </c>
    </row>
    <row r="179" spans="2:2" ht="18.75" x14ac:dyDescent="0.3">
      <c r="B179" s="467" t="s">
        <v>474</v>
      </c>
    </row>
    <row r="180" spans="2:2" ht="18.75" x14ac:dyDescent="0.3">
      <c r="B180" s="467" t="s">
        <v>475</v>
      </c>
    </row>
  </sheetData>
  <hyperlinks>
    <hyperlink ref="B1" location="Index!A1" display="Home Index (click here)" xr:uid="{6A27B7D9-D98E-40B9-AE96-6207983886A0}"/>
  </hyperlinks>
  <pageMargins left="0.4" right="0.4" top="0.18" bottom="0.36" header="0.34" footer="0.17"/>
  <pageSetup paperSize="9" scale="50" fitToHeight="0" orientation="portrait"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1026A7-A5FF-4FB1-A2C7-42121B35B9A2}">
  <sheetPr>
    <pageSetUpPr fitToPage="1"/>
  </sheetPr>
  <dimension ref="B1:J65"/>
  <sheetViews>
    <sheetView workbookViewId="0">
      <selection activeCell="P18" sqref="P18"/>
    </sheetView>
  </sheetViews>
  <sheetFormatPr defaultColWidth="8.7109375" defaultRowHeight="15.75" outlineLevelRow="1" x14ac:dyDescent="0.25"/>
  <cols>
    <col min="1" max="1" width="2.85546875" style="31" customWidth="1"/>
    <col min="2" max="2" width="65.42578125" style="31" bestFit="1" customWidth="1"/>
    <col min="3" max="3" width="13.28515625" style="31" customWidth="1"/>
    <col min="4" max="4" width="14" style="31" customWidth="1"/>
    <col min="5" max="6" width="13.28515625" style="31" customWidth="1"/>
    <col min="7" max="8" width="14" style="31" customWidth="1"/>
    <col min="9" max="10" width="15.5703125" style="31" customWidth="1"/>
    <col min="11" max="16384" width="8.7109375" style="31"/>
  </cols>
  <sheetData>
    <row r="1" spans="2:10" ht="21" thickBot="1" x14ac:dyDescent="0.35">
      <c r="B1" s="132" t="s">
        <v>248</v>
      </c>
    </row>
    <row r="2" spans="2:10" ht="19.5" x14ac:dyDescent="0.35">
      <c r="B2" s="26" t="s">
        <v>154</v>
      </c>
      <c r="C2" s="27" t="s">
        <v>105</v>
      </c>
      <c r="D2" s="28"/>
      <c r="E2" s="28"/>
      <c r="F2" s="28"/>
      <c r="G2" s="28"/>
      <c r="H2" s="28"/>
      <c r="I2" s="29"/>
      <c r="J2" s="29" t="s">
        <v>680</v>
      </c>
    </row>
    <row r="3" spans="2:10" ht="18.75" x14ac:dyDescent="0.3">
      <c r="B3" s="362" t="s">
        <v>39</v>
      </c>
      <c r="C3" s="363">
        <v>2017</v>
      </c>
      <c r="D3" s="363">
        <f t="shared" ref="D3:J3" si="0">C3+1</f>
        <v>2018</v>
      </c>
      <c r="E3" s="363">
        <f t="shared" si="0"/>
        <v>2019</v>
      </c>
      <c r="F3" s="363">
        <f t="shared" si="0"/>
        <v>2020</v>
      </c>
      <c r="G3" s="363">
        <f t="shared" si="0"/>
        <v>2021</v>
      </c>
      <c r="H3" s="364">
        <f t="shared" si="0"/>
        <v>2022</v>
      </c>
      <c r="I3" s="364">
        <f t="shared" si="0"/>
        <v>2023</v>
      </c>
      <c r="J3" s="364">
        <f t="shared" si="0"/>
        <v>2024</v>
      </c>
    </row>
    <row r="5" spans="2:10" x14ac:dyDescent="0.25">
      <c r="B5" s="32" t="s">
        <v>156</v>
      </c>
      <c r="C5" s="32">
        <f>' - FS '!C17+' - FS '!C18</f>
        <v>-34040916</v>
      </c>
      <c r="D5" s="32">
        <f>' - FS '!D17+' - FS '!D18</f>
        <v>79809795</v>
      </c>
      <c r="E5" s="32">
        <f>' - FS '!E17+' - FS '!E18</f>
        <v>3344909</v>
      </c>
      <c r="F5" s="32">
        <f>' - FS '!F17+' - FS '!F18</f>
        <v>-34824663</v>
      </c>
      <c r="G5" s="32">
        <f>' - FS '!G17+' - FS '!G18</f>
        <v>108090158</v>
      </c>
      <c r="H5" s="32">
        <f>' - FS '!H17+' - FS '!H18</f>
        <v>241417395</v>
      </c>
      <c r="I5" s="563">
        <f>' - FS '!I17+' - FS '!I18</f>
        <v>-107770886</v>
      </c>
      <c r="J5" s="563">
        <f>' - FS '!J17+' - FS '!J18</f>
        <v>-28862477</v>
      </c>
    </row>
    <row r="7" spans="2:10" outlineLevel="1" x14ac:dyDescent="0.25">
      <c r="B7" s="33" t="s">
        <v>155</v>
      </c>
    </row>
    <row r="8" spans="2:10" outlineLevel="1" x14ac:dyDescent="0.25"/>
    <row r="9" spans="2:10" outlineLevel="1" x14ac:dyDescent="0.25">
      <c r="B9" s="34" t="s">
        <v>184</v>
      </c>
    </row>
    <row r="10" spans="2:10" outlineLevel="1" x14ac:dyDescent="0.25">
      <c r="B10" s="31" t="s">
        <v>188</v>
      </c>
      <c r="C10" s="47">
        <v>0</v>
      </c>
      <c r="D10" s="47">
        <v>2491709</v>
      </c>
      <c r="E10" s="47">
        <v>1997470</v>
      </c>
      <c r="F10" s="47">
        <v>1500000</v>
      </c>
      <c r="G10" s="47">
        <v>0</v>
      </c>
      <c r="H10" s="47">
        <v>0</v>
      </c>
      <c r="I10" s="31">
        <v>0</v>
      </c>
      <c r="J10" s="31">
        <v>0</v>
      </c>
    </row>
    <row r="11" spans="2:10" outlineLevel="1" x14ac:dyDescent="0.25">
      <c r="B11" s="31" t="s">
        <v>189</v>
      </c>
      <c r="C11" s="47">
        <v>1311756</v>
      </c>
      <c r="D11" s="47">
        <v>846168</v>
      </c>
      <c r="E11" s="47">
        <v>1434604</v>
      </c>
      <c r="F11" s="47">
        <v>1840000</v>
      </c>
      <c r="G11" s="47">
        <v>0</v>
      </c>
      <c r="H11" s="47">
        <v>0</v>
      </c>
      <c r="I11" s="31">
        <v>0</v>
      </c>
      <c r="J11" s="31">
        <v>0</v>
      </c>
    </row>
    <row r="12" spans="2:10" outlineLevel="1" x14ac:dyDescent="0.25">
      <c r="B12" s="31" t="s">
        <v>190</v>
      </c>
      <c r="C12" s="47">
        <v>-133429</v>
      </c>
      <c r="D12" s="47">
        <v>-70491</v>
      </c>
      <c r="E12" s="47">
        <v>0</v>
      </c>
      <c r="F12" s="47">
        <v>-108749</v>
      </c>
      <c r="G12" s="47">
        <v>0</v>
      </c>
      <c r="H12" s="47">
        <v>0</v>
      </c>
      <c r="I12" s="31">
        <v>0</v>
      </c>
      <c r="J12" s="31">
        <v>0</v>
      </c>
    </row>
    <row r="13" spans="2:10" outlineLevel="1" x14ac:dyDescent="0.25">
      <c r="B13" s="31" t="s">
        <v>157</v>
      </c>
      <c r="C13" s="47">
        <f>72580832-26460224</f>
        <v>46120608</v>
      </c>
      <c r="D13" s="47">
        <v>73121146</v>
      </c>
      <c r="E13" s="47">
        <v>74308579</v>
      </c>
      <c r="F13" s="47">
        <v>70357811</v>
      </c>
      <c r="G13" s="47">
        <v>70018812</v>
      </c>
      <c r="H13" s="47">
        <v>67307175</v>
      </c>
      <c r="I13" s="31">
        <v>67821335</v>
      </c>
      <c r="J13" s="31">
        <v>33744816</v>
      </c>
    </row>
    <row r="14" spans="2:10" outlineLevel="1" x14ac:dyDescent="0.25">
      <c r="B14" s="31" t="s">
        <v>158</v>
      </c>
      <c r="C14" s="47">
        <v>0</v>
      </c>
      <c r="D14" s="47">
        <v>0</v>
      </c>
      <c r="E14" s="47">
        <v>0</v>
      </c>
      <c r="F14" s="47">
        <v>11168</v>
      </c>
      <c r="G14" s="47">
        <v>528033</v>
      </c>
      <c r="H14" s="47">
        <v>405894</v>
      </c>
      <c r="I14" s="31">
        <v>76105</v>
      </c>
      <c r="J14" s="31">
        <v>37110</v>
      </c>
    </row>
    <row r="15" spans="2:10" outlineLevel="1" x14ac:dyDescent="0.25">
      <c r="B15" s="31" t="s">
        <v>159</v>
      </c>
      <c r="C15" s="47">
        <v>0</v>
      </c>
      <c r="D15" s="47">
        <v>0</v>
      </c>
      <c r="E15" s="47">
        <v>814875</v>
      </c>
      <c r="F15" s="47">
        <v>893924</v>
      </c>
      <c r="G15" s="47">
        <v>2715717</v>
      </c>
      <c r="H15" s="47">
        <v>3647404</v>
      </c>
      <c r="I15" s="31">
        <v>3888711</v>
      </c>
      <c r="J15" s="31">
        <v>1779789</v>
      </c>
    </row>
    <row r="16" spans="2:10" outlineLevel="1" x14ac:dyDescent="0.25">
      <c r="B16" s="31" t="s">
        <v>160</v>
      </c>
      <c r="C16" s="47">
        <v>909126</v>
      </c>
      <c r="D16" s="47">
        <v>484633</v>
      </c>
      <c r="E16" s="47">
        <v>442961</v>
      </c>
      <c r="F16" s="47">
        <v>276205</v>
      </c>
      <c r="G16" s="47">
        <v>149602</v>
      </c>
      <c r="H16" s="47">
        <v>168614</v>
      </c>
      <c r="I16" s="31">
        <v>213104</v>
      </c>
      <c r="J16" s="31">
        <v>88144</v>
      </c>
    </row>
    <row r="17" spans="2:10" outlineLevel="1" x14ac:dyDescent="0.25">
      <c r="B17" s="31" t="s">
        <v>161</v>
      </c>
      <c r="C17" s="47">
        <v>5203638</v>
      </c>
      <c r="D17" s="47">
        <v>5544732</v>
      </c>
      <c r="E17" s="47">
        <v>5821266</v>
      </c>
      <c r="F17" s="47">
        <v>4868295</v>
      </c>
      <c r="G17" s="47">
        <v>3912230</v>
      </c>
      <c r="H17" s="47">
        <v>4464864</v>
      </c>
      <c r="I17" s="31">
        <v>5675711</v>
      </c>
      <c r="J17" s="31">
        <v>3029696</v>
      </c>
    </row>
    <row r="18" spans="2:10" outlineLevel="1" x14ac:dyDescent="0.25">
      <c r="B18" s="31" t="s">
        <v>193</v>
      </c>
      <c r="C18" s="47">
        <v>-2450322</v>
      </c>
      <c r="D18" s="47">
        <v>2200821</v>
      </c>
      <c r="E18" s="47">
        <v>0</v>
      </c>
      <c r="F18" s="47">
        <v>0</v>
      </c>
      <c r="G18" s="47">
        <v>91382</v>
      </c>
      <c r="H18" s="47">
        <v>0</v>
      </c>
      <c r="I18" s="31">
        <v>3100</v>
      </c>
      <c r="J18" s="31">
        <v>0</v>
      </c>
    </row>
    <row r="19" spans="2:10" outlineLevel="1" x14ac:dyDescent="0.25">
      <c r="B19" s="31" t="s">
        <v>162</v>
      </c>
      <c r="C19" s="47">
        <v>0</v>
      </c>
      <c r="D19" s="47">
        <v>0</v>
      </c>
      <c r="E19" s="47">
        <v>0</v>
      </c>
      <c r="F19" s="47">
        <v>0</v>
      </c>
      <c r="G19" s="47">
        <v>-5000</v>
      </c>
      <c r="H19" s="47">
        <v>0</v>
      </c>
      <c r="I19" s="31">
        <v>0</v>
      </c>
      <c r="J19" s="31">
        <v>0</v>
      </c>
    </row>
    <row r="20" spans="2:10" outlineLevel="1" x14ac:dyDescent="0.25">
      <c r="B20" s="31" t="s">
        <v>163</v>
      </c>
      <c r="C20" s="47">
        <v>0</v>
      </c>
      <c r="D20" s="47">
        <v>0</v>
      </c>
      <c r="E20" s="47">
        <v>180150</v>
      </c>
      <c r="F20" s="47">
        <v>897475</v>
      </c>
      <c r="G20" s="47">
        <v>1366450</v>
      </c>
      <c r="H20" s="47">
        <v>1191470</v>
      </c>
      <c r="I20" s="31">
        <v>1676228</v>
      </c>
      <c r="J20" s="31">
        <v>1283225</v>
      </c>
    </row>
    <row r="21" spans="2:10" outlineLevel="1" x14ac:dyDescent="0.25">
      <c r="B21" s="31" t="s">
        <v>164</v>
      </c>
      <c r="C21" s="69">
        <v>33061003</v>
      </c>
      <c r="D21" s="69">
        <v>31560444</v>
      </c>
      <c r="E21" s="69">
        <v>34361598</v>
      </c>
      <c r="F21" s="47">
        <v>25380713</v>
      </c>
      <c r="G21" s="69">
        <v>20346696</v>
      </c>
      <c r="H21" s="69">
        <v>22607086</v>
      </c>
      <c r="I21" s="31">
        <v>34569636</v>
      </c>
      <c r="J21" s="31">
        <v>16226629</v>
      </c>
    </row>
    <row r="22" spans="2:10" outlineLevel="1" x14ac:dyDescent="0.25">
      <c r="B22" s="31" t="s">
        <v>199</v>
      </c>
      <c r="C22" s="48">
        <v>-2156928</v>
      </c>
      <c r="D22" s="48">
        <v>-2275264</v>
      </c>
      <c r="E22" s="48">
        <v>-2840173</v>
      </c>
      <c r="F22" s="48">
        <v>-3145704</v>
      </c>
      <c r="G22" s="48">
        <v>-2956531</v>
      </c>
      <c r="H22" s="48">
        <v>-2843014</v>
      </c>
      <c r="I22" s="48">
        <v>-2978122</v>
      </c>
      <c r="J22" s="48">
        <v>-837337</v>
      </c>
    </row>
    <row r="23" spans="2:10" outlineLevel="1" x14ac:dyDescent="0.25">
      <c r="C23" s="69">
        <f>SUM(C5:C22)</f>
        <v>47824536</v>
      </c>
      <c r="D23" s="69">
        <f t="shared" ref="D23:I23" si="1">SUM(D5:D22)</f>
        <v>193713693</v>
      </c>
      <c r="E23" s="69">
        <f t="shared" si="1"/>
        <v>119866239</v>
      </c>
      <c r="F23" s="69">
        <f t="shared" si="1"/>
        <v>67946475</v>
      </c>
      <c r="G23" s="47">
        <f t="shared" si="1"/>
        <v>204257549</v>
      </c>
      <c r="H23" s="47">
        <f>SUM(H5:H22)</f>
        <v>338366888</v>
      </c>
      <c r="I23" s="47">
        <f t="shared" si="1"/>
        <v>3174922</v>
      </c>
      <c r="J23" s="47">
        <f>SUM(J5:J22)</f>
        <v>26489595</v>
      </c>
    </row>
    <row r="24" spans="2:10" outlineLevel="1" x14ac:dyDescent="0.25">
      <c r="B24" s="34" t="s">
        <v>185</v>
      </c>
      <c r="C24" s="47"/>
      <c r="D24" s="47"/>
      <c r="E24" s="47"/>
      <c r="F24" s="47"/>
      <c r="G24" s="47"/>
      <c r="H24" s="47"/>
      <c r="I24" s="47"/>
      <c r="J24" s="47"/>
    </row>
    <row r="25" spans="2:10" outlineLevel="1" x14ac:dyDescent="0.25">
      <c r="B25" s="31" t="s">
        <v>165</v>
      </c>
      <c r="C25" s="47">
        <v>15924424</v>
      </c>
      <c r="D25" s="47">
        <v>-18122306</v>
      </c>
      <c r="E25" s="47">
        <v>0</v>
      </c>
      <c r="F25" s="47">
        <v>0</v>
      </c>
      <c r="G25" s="47">
        <v>-11098933</v>
      </c>
      <c r="H25" s="47">
        <v>-39857488</v>
      </c>
      <c r="I25" s="498">
        <v>39972234</v>
      </c>
      <c r="J25" s="498">
        <v>3269822</v>
      </c>
    </row>
    <row r="26" spans="2:10" outlineLevel="1" x14ac:dyDescent="0.25">
      <c r="B26" s="31" t="s">
        <v>50</v>
      </c>
      <c r="C26" s="47">
        <v>40547988</v>
      </c>
      <c r="D26" s="47">
        <v>-86522147</v>
      </c>
      <c r="E26" s="47">
        <v>-24697053</v>
      </c>
      <c r="F26" s="47">
        <v>77010650</v>
      </c>
      <c r="G26" s="47">
        <v>-83095685</v>
      </c>
      <c r="H26" s="47">
        <v>-119978369</v>
      </c>
      <c r="I26" s="498">
        <v>47131965</v>
      </c>
      <c r="J26" s="498">
        <v>32118469</v>
      </c>
    </row>
    <row r="27" spans="2:10" outlineLevel="1" x14ac:dyDescent="0.25">
      <c r="B27" s="31" t="s">
        <v>166</v>
      </c>
      <c r="C27" s="47">
        <v>0</v>
      </c>
      <c r="D27" s="47">
        <v>0</v>
      </c>
      <c r="E27" s="47">
        <v>-607832</v>
      </c>
      <c r="F27" s="47">
        <v>27691256</v>
      </c>
      <c r="G27" s="47">
        <v>2604437</v>
      </c>
      <c r="H27" s="47">
        <v>6604482</v>
      </c>
      <c r="I27" s="498">
        <v>3303729</v>
      </c>
      <c r="J27" s="498">
        <v>-4734133</v>
      </c>
    </row>
    <row r="28" spans="2:10" outlineLevel="1" x14ac:dyDescent="0.25">
      <c r="B28" s="31" t="s">
        <v>198</v>
      </c>
      <c r="C28" s="47">
        <v>52189263</v>
      </c>
      <c r="D28" s="47">
        <v>-90673</v>
      </c>
      <c r="E28" s="47">
        <v>20010052</v>
      </c>
      <c r="F28" s="47">
        <v>-46790475</v>
      </c>
      <c r="G28" s="47">
        <v>31581969</v>
      </c>
      <c r="H28" s="47">
        <v>8289373</v>
      </c>
      <c r="I28" s="498">
        <v>-9739993</v>
      </c>
      <c r="J28" s="498">
        <v>25617788</v>
      </c>
    </row>
    <row r="29" spans="2:10" outlineLevel="1" x14ac:dyDescent="0.25">
      <c r="B29" s="31" t="s">
        <v>167</v>
      </c>
      <c r="C29" s="48">
        <v>0</v>
      </c>
      <c r="D29" s="48">
        <v>0</v>
      </c>
      <c r="E29" s="48">
        <v>0</v>
      </c>
      <c r="F29" s="48">
        <v>0</v>
      </c>
      <c r="G29" s="48">
        <v>23586027</v>
      </c>
      <c r="H29" s="48">
        <v>-16466436</v>
      </c>
      <c r="I29" s="499">
        <v>2972756</v>
      </c>
      <c r="J29" s="499">
        <v>-3099018</v>
      </c>
    </row>
    <row r="30" spans="2:10" outlineLevel="1" x14ac:dyDescent="0.25">
      <c r="C30" s="47">
        <f t="shared" ref="C30:I30" si="2">SUM(C25:C29)</f>
        <v>108661675</v>
      </c>
      <c r="D30" s="47">
        <f t="shared" si="2"/>
        <v>-104735126</v>
      </c>
      <c r="E30" s="47">
        <f t="shared" si="2"/>
        <v>-5294833</v>
      </c>
      <c r="F30" s="47">
        <f t="shared" si="2"/>
        <v>57911431</v>
      </c>
      <c r="G30" s="47">
        <f t="shared" si="2"/>
        <v>-36422185</v>
      </c>
      <c r="H30" s="47">
        <f t="shared" si="2"/>
        <v>-161408438</v>
      </c>
      <c r="I30" s="47">
        <f t="shared" si="2"/>
        <v>83640691</v>
      </c>
      <c r="J30" s="47">
        <f>SUM(J25:J29)</f>
        <v>53172928</v>
      </c>
    </row>
    <row r="31" spans="2:10" outlineLevel="1" x14ac:dyDescent="0.25">
      <c r="C31" s="47"/>
      <c r="D31" s="47"/>
      <c r="E31" s="47"/>
      <c r="F31" s="47"/>
      <c r="G31" s="47"/>
      <c r="H31" s="47"/>
      <c r="I31" s="47"/>
      <c r="J31" s="47"/>
    </row>
    <row r="32" spans="2:10" outlineLevel="1" x14ac:dyDescent="0.25">
      <c r="B32" s="36" t="s">
        <v>186</v>
      </c>
      <c r="C32" s="47">
        <f t="shared" ref="C32:I32" si="3">C23+C30</f>
        <v>156486211</v>
      </c>
      <c r="D32" s="47">
        <f t="shared" si="3"/>
        <v>88978567</v>
      </c>
      <c r="E32" s="47">
        <f t="shared" si="3"/>
        <v>114571406</v>
      </c>
      <c r="F32" s="47">
        <f t="shared" si="3"/>
        <v>125857906</v>
      </c>
      <c r="G32" s="47">
        <f t="shared" si="3"/>
        <v>167835364</v>
      </c>
      <c r="H32" s="47">
        <f t="shared" si="3"/>
        <v>176958450</v>
      </c>
      <c r="I32" s="47">
        <f t="shared" si="3"/>
        <v>86815613</v>
      </c>
      <c r="J32" s="47">
        <f>J23+J30</f>
        <v>79662523</v>
      </c>
    </row>
    <row r="33" spans="2:10" outlineLevel="1" x14ac:dyDescent="0.25">
      <c r="C33" s="47"/>
      <c r="D33" s="47"/>
      <c r="E33" s="47"/>
      <c r="F33" s="47"/>
      <c r="G33" s="47"/>
      <c r="H33" s="47"/>
      <c r="I33" s="47"/>
      <c r="J33" s="47"/>
    </row>
    <row r="34" spans="2:10" outlineLevel="1" x14ac:dyDescent="0.25">
      <c r="B34" s="31" t="s">
        <v>168</v>
      </c>
      <c r="C34" s="47">
        <v>-1842714</v>
      </c>
      <c r="D34" s="47">
        <v>-4816591</v>
      </c>
      <c r="E34" s="47">
        <v>-1795267</v>
      </c>
      <c r="F34" s="47">
        <v>-4046916</v>
      </c>
      <c r="G34" s="47">
        <v>-2446783</v>
      </c>
      <c r="H34" s="47">
        <v>-970913</v>
      </c>
      <c r="I34" s="47">
        <v>-4472668</v>
      </c>
      <c r="J34" s="47">
        <v>-1820389</v>
      </c>
    </row>
    <row r="35" spans="2:10" outlineLevel="1" x14ac:dyDescent="0.25">
      <c r="B35" s="31" t="s">
        <v>169</v>
      </c>
      <c r="C35" s="47">
        <v>-240159</v>
      </c>
      <c r="D35" s="47">
        <v>-437179</v>
      </c>
      <c r="E35" s="47">
        <v>-2377452</v>
      </c>
      <c r="F35" s="47">
        <v>-645008</v>
      </c>
      <c r="G35" s="47">
        <v>-595323</v>
      </c>
      <c r="H35" s="47">
        <v>-3098629</v>
      </c>
      <c r="I35" s="47">
        <v>-6618844</v>
      </c>
      <c r="J35" s="47">
        <v>-616670</v>
      </c>
    </row>
    <row r="36" spans="2:10" outlineLevel="1" x14ac:dyDescent="0.25">
      <c r="B36" s="31" t="s">
        <v>187</v>
      </c>
      <c r="C36" s="47">
        <v>-30334593</v>
      </c>
      <c r="D36" s="47">
        <v>-30735424</v>
      </c>
      <c r="E36" s="47">
        <v>-35254587</v>
      </c>
      <c r="F36" s="47">
        <v>-25771939</v>
      </c>
      <c r="G36" s="47">
        <v>-18511468</v>
      </c>
      <c r="H36" s="47">
        <v>-20599063</v>
      </c>
      <c r="I36" s="47">
        <v>-32652228</v>
      </c>
      <c r="J36" s="47">
        <v>-15805588</v>
      </c>
    </row>
    <row r="37" spans="2:10" x14ac:dyDescent="0.25">
      <c r="C37" s="47"/>
      <c r="D37" s="47"/>
      <c r="E37" s="47"/>
      <c r="F37" s="47"/>
      <c r="G37" s="47"/>
      <c r="H37" s="47"/>
      <c r="I37" s="47"/>
      <c r="J37" s="47"/>
    </row>
    <row r="38" spans="2:10" x14ac:dyDescent="0.25">
      <c r="B38" s="37" t="s">
        <v>170</v>
      </c>
      <c r="C38" s="92">
        <f t="shared" ref="C38:H38" si="4">C32+C34+C35+C36</f>
        <v>124068745</v>
      </c>
      <c r="D38" s="92">
        <f t="shared" si="4"/>
        <v>52989373</v>
      </c>
      <c r="E38" s="92">
        <f t="shared" si="4"/>
        <v>75144100</v>
      </c>
      <c r="F38" s="92">
        <f t="shared" si="4"/>
        <v>95394043</v>
      </c>
      <c r="G38" s="92">
        <f t="shared" si="4"/>
        <v>146281790</v>
      </c>
      <c r="H38" s="92">
        <f t="shared" si="4"/>
        <v>152289845</v>
      </c>
      <c r="I38" s="500">
        <f>SUM(I32:I36)</f>
        <v>43071873</v>
      </c>
      <c r="J38" s="500">
        <f>SUM(J32:J36)</f>
        <v>61419876</v>
      </c>
    </row>
    <row r="39" spans="2:10" x14ac:dyDescent="0.25">
      <c r="C39" s="47"/>
      <c r="D39" s="47"/>
      <c r="E39" s="47"/>
      <c r="F39" s="47"/>
      <c r="G39" s="47"/>
      <c r="H39" s="47"/>
      <c r="I39" s="47"/>
      <c r="J39" s="47"/>
    </row>
    <row r="40" spans="2:10" outlineLevel="1" x14ac:dyDescent="0.25">
      <c r="B40" s="33" t="s">
        <v>171</v>
      </c>
      <c r="C40" s="47"/>
      <c r="D40" s="47"/>
      <c r="E40" s="47"/>
      <c r="F40" s="47"/>
      <c r="G40" s="47"/>
      <c r="H40" s="47"/>
      <c r="I40" s="47"/>
      <c r="J40" s="47"/>
    </row>
    <row r="41" spans="2:10" outlineLevel="1" x14ac:dyDescent="0.25">
      <c r="B41" s="31" t="s">
        <v>172</v>
      </c>
      <c r="C41" s="47">
        <v>-42930689</v>
      </c>
      <c r="D41" s="47">
        <v>-39520642</v>
      </c>
      <c r="E41" s="47">
        <v>-36507718</v>
      </c>
      <c r="F41" s="47">
        <v>-39270781</v>
      </c>
      <c r="G41" s="47">
        <v>-26962837</v>
      </c>
      <c r="H41" s="47">
        <v>-52471654</v>
      </c>
      <c r="I41" s="498">
        <v>-62144784</v>
      </c>
      <c r="J41" s="498">
        <v>-19386239</v>
      </c>
    </row>
    <row r="42" spans="2:10" outlineLevel="1" x14ac:dyDescent="0.25">
      <c r="B42" s="31" t="s">
        <v>173</v>
      </c>
      <c r="C42" s="47">
        <v>183249</v>
      </c>
      <c r="D42" s="47">
        <v>72529</v>
      </c>
      <c r="E42" s="47">
        <v>265250</v>
      </c>
      <c r="F42" s="47">
        <v>1142368</v>
      </c>
      <c r="G42" s="47">
        <v>285783</v>
      </c>
      <c r="H42" s="47">
        <v>62170</v>
      </c>
      <c r="I42" s="498">
        <v>967210</v>
      </c>
      <c r="J42" s="498">
        <v>0</v>
      </c>
    </row>
    <row r="43" spans="2:10" outlineLevel="1" x14ac:dyDescent="0.25">
      <c r="B43" s="31" t="s">
        <v>200</v>
      </c>
      <c r="C43" s="47">
        <v>-401694</v>
      </c>
      <c r="D43" s="47">
        <v>-36120</v>
      </c>
      <c r="E43" s="47">
        <v>-711380</v>
      </c>
      <c r="F43" s="47">
        <v>-235774</v>
      </c>
      <c r="G43" s="47">
        <v>0</v>
      </c>
      <c r="H43" s="47">
        <v>-986494</v>
      </c>
      <c r="I43" s="498">
        <v>-146674</v>
      </c>
      <c r="J43" s="498">
        <v>0</v>
      </c>
    </row>
    <row r="44" spans="2:10" outlineLevel="1" x14ac:dyDescent="0.25">
      <c r="B44" s="31" t="s">
        <v>174</v>
      </c>
      <c r="C44" s="47">
        <v>0</v>
      </c>
      <c r="D44" s="47">
        <v>0</v>
      </c>
      <c r="E44" s="47">
        <v>0</v>
      </c>
      <c r="F44" s="47">
        <v>0</v>
      </c>
      <c r="G44" s="47">
        <v>-22522</v>
      </c>
      <c r="H44" s="47">
        <v>-622114</v>
      </c>
      <c r="I44" s="498">
        <v>-191275</v>
      </c>
      <c r="J44" s="498">
        <v>0</v>
      </c>
    </row>
    <row r="45" spans="2:10" outlineLevel="1" x14ac:dyDescent="0.25">
      <c r="B45" s="31" t="s">
        <v>609</v>
      </c>
      <c r="C45" s="47">
        <v>500000</v>
      </c>
      <c r="D45" s="47">
        <v>-231867</v>
      </c>
      <c r="E45" s="47">
        <v>0</v>
      </c>
      <c r="F45" s="47">
        <v>1800000</v>
      </c>
      <c r="G45" s="47">
        <v>0</v>
      </c>
      <c r="H45" s="47">
        <v>0</v>
      </c>
      <c r="I45" s="47">
        <v>-648000</v>
      </c>
      <c r="J45" s="47">
        <v>0</v>
      </c>
    </row>
    <row r="46" spans="2:10" x14ac:dyDescent="0.25">
      <c r="C46" s="47"/>
      <c r="D46" s="47"/>
      <c r="E46" s="47"/>
      <c r="F46" s="47"/>
      <c r="G46" s="47"/>
      <c r="H46" s="47"/>
      <c r="I46" s="47"/>
      <c r="J46" s="47"/>
    </row>
    <row r="47" spans="2:10" x14ac:dyDescent="0.25">
      <c r="B47" s="37" t="s">
        <v>175</v>
      </c>
      <c r="C47" s="92">
        <f t="shared" ref="C47:I47" si="5">SUM(C41:C45)</f>
        <v>-42649134</v>
      </c>
      <c r="D47" s="92">
        <f t="shared" si="5"/>
        <v>-39716100</v>
      </c>
      <c r="E47" s="92">
        <f t="shared" si="5"/>
        <v>-36953848</v>
      </c>
      <c r="F47" s="92">
        <f t="shared" si="5"/>
        <v>-36564187</v>
      </c>
      <c r="G47" s="92">
        <f t="shared" si="5"/>
        <v>-26699576</v>
      </c>
      <c r="H47" s="92">
        <f t="shared" si="5"/>
        <v>-54018092</v>
      </c>
      <c r="I47" s="365">
        <f t="shared" si="5"/>
        <v>-62163523</v>
      </c>
      <c r="J47" s="365">
        <f>SUM(J41:J45)</f>
        <v>-19386239</v>
      </c>
    </row>
    <row r="48" spans="2:10" x14ac:dyDescent="0.25">
      <c r="C48" s="47"/>
      <c r="D48" s="47"/>
      <c r="E48" s="47"/>
      <c r="F48" s="47"/>
      <c r="G48" s="47"/>
      <c r="H48" s="47"/>
      <c r="I48" s="47"/>
      <c r="J48" s="47"/>
    </row>
    <row r="49" spans="2:10" outlineLevel="1" x14ac:dyDescent="0.25">
      <c r="B49" s="33" t="s">
        <v>176</v>
      </c>
      <c r="C49" s="47"/>
      <c r="D49" s="47"/>
      <c r="E49" s="47"/>
      <c r="F49" s="47"/>
      <c r="G49" s="47"/>
      <c r="H49" s="47"/>
      <c r="I49" s="47"/>
      <c r="J49" s="47"/>
    </row>
    <row r="50" spans="2:10" outlineLevel="1" x14ac:dyDescent="0.25">
      <c r="B50" s="44" t="s">
        <v>177</v>
      </c>
      <c r="C50" s="47">
        <v>17037158</v>
      </c>
      <c r="D50" s="47">
        <v>-2473389</v>
      </c>
      <c r="E50" s="47">
        <v>33416491</v>
      </c>
      <c r="F50" s="47">
        <v>-87021238</v>
      </c>
      <c r="G50" s="47">
        <v>-47506781</v>
      </c>
      <c r="H50" s="47">
        <v>-2408493</v>
      </c>
      <c r="I50" s="31">
        <v>35165850</v>
      </c>
      <c r="J50" s="47">
        <v>-17514502</v>
      </c>
    </row>
    <row r="51" spans="2:10" outlineLevel="1" x14ac:dyDescent="0.25">
      <c r="B51" s="44" t="s">
        <v>178</v>
      </c>
      <c r="C51" s="47">
        <v>0</v>
      </c>
      <c r="D51" s="47">
        <v>0</v>
      </c>
      <c r="E51" s="47">
        <v>0</v>
      </c>
      <c r="F51" s="47">
        <v>0</v>
      </c>
      <c r="G51" s="47">
        <v>0</v>
      </c>
      <c r="H51" s="47">
        <v>-44988525</v>
      </c>
      <c r="I51" s="31">
        <v>0</v>
      </c>
      <c r="J51" s="31">
        <v>0</v>
      </c>
    </row>
    <row r="52" spans="2:10" outlineLevel="1" x14ac:dyDescent="0.25">
      <c r="B52" s="44" t="s">
        <v>179</v>
      </c>
      <c r="C52" s="47">
        <v>-98644168</v>
      </c>
      <c r="D52" s="47">
        <v>-42796591</v>
      </c>
      <c r="E52" s="47">
        <v>-72488484</v>
      </c>
      <c r="F52" s="47">
        <v>29637548</v>
      </c>
      <c r="G52" s="47">
        <v>-67360969</v>
      </c>
      <c r="H52" s="47">
        <v>-45678044</v>
      </c>
      <c r="I52" s="47">
        <v>-9779029</v>
      </c>
      <c r="J52" s="47">
        <v>-32030246</v>
      </c>
    </row>
    <row r="53" spans="2:10" outlineLevel="1" x14ac:dyDescent="0.25">
      <c r="B53" s="44" t="s">
        <v>180</v>
      </c>
      <c r="C53" s="47">
        <v>0</v>
      </c>
      <c r="D53" s="47">
        <v>0</v>
      </c>
      <c r="E53" s="47">
        <v>-1283537</v>
      </c>
      <c r="F53" s="47">
        <v>-1303804</v>
      </c>
      <c r="G53" s="47">
        <v>-4432223</v>
      </c>
      <c r="H53" s="47">
        <v>-4297014</v>
      </c>
      <c r="I53" s="47">
        <v>-4222380</v>
      </c>
      <c r="J53" s="47">
        <v>-214268</v>
      </c>
    </row>
    <row r="54" spans="2:10" outlineLevel="1" x14ac:dyDescent="0.25">
      <c r="B54" s="31" t="s">
        <v>194</v>
      </c>
      <c r="C54" s="47">
        <v>26250000</v>
      </c>
      <c r="D54" s="47">
        <v>0</v>
      </c>
      <c r="E54" s="47">
        <v>0</v>
      </c>
      <c r="F54" s="47">
        <v>0</v>
      </c>
      <c r="G54" s="47">
        <v>0</v>
      </c>
      <c r="H54" s="47">
        <v>0</v>
      </c>
      <c r="I54" s="31">
        <v>0</v>
      </c>
      <c r="J54" s="31">
        <v>0</v>
      </c>
    </row>
    <row r="55" spans="2:10" x14ac:dyDescent="0.25">
      <c r="C55" s="47"/>
      <c r="D55" s="47"/>
      <c r="E55" s="47"/>
      <c r="F55" s="47"/>
      <c r="G55" s="47"/>
      <c r="H55" s="47"/>
      <c r="I55" s="47"/>
      <c r="J55" s="47"/>
    </row>
    <row r="56" spans="2:10" x14ac:dyDescent="0.25">
      <c r="B56" s="37" t="s">
        <v>181</v>
      </c>
      <c r="C56" s="92">
        <f t="shared" ref="C56:H56" si="6">SUM(C50:C55)</f>
        <v>-55357010</v>
      </c>
      <c r="D56" s="92">
        <f t="shared" si="6"/>
        <v>-45269980</v>
      </c>
      <c r="E56" s="92">
        <f t="shared" si="6"/>
        <v>-40355530</v>
      </c>
      <c r="F56" s="92">
        <f t="shared" si="6"/>
        <v>-58687494</v>
      </c>
      <c r="G56" s="92">
        <f t="shared" si="6"/>
        <v>-119299973</v>
      </c>
      <c r="H56" s="92">
        <f t="shared" si="6"/>
        <v>-97372076</v>
      </c>
      <c r="I56" s="365">
        <f>SUM(I50:I55)</f>
        <v>21164441</v>
      </c>
      <c r="J56" s="365">
        <f>SUM(J50:J55)</f>
        <v>-49759016</v>
      </c>
    </row>
    <row r="57" spans="2:10" ht="16.5" thickBot="1" x14ac:dyDescent="0.3">
      <c r="C57" s="47"/>
      <c r="D57" s="47"/>
      <c r="E57" s="47"/>
      <c r="F57" s="47"/>
      <c r="G57" s="47"/>
      <c r="H57" s="47"/>
      <c r="I57" s="47"/>
      <c r="J57" s="47"/>
    </row>
    <row r="58" spans="2:10" ht="16.5" thickBot="1" x14ac:dyDescent="0.3">
      <c r="B58" s="38" t="s">
        <v>192</v>
      </c>
      <c r="C58" s="93">
        <f t="shared" ref="C58:I58" si="7">C38+C47+C56</f>
        <v>26062601</v>
      </c>
      <c r="D58" s="93">
        <f t="shared" si="7"/>
        <v>-31996707</v>
      </c>
      <c r="E58" s="93">
        <f t="shared" si="7"/>
        <v>-2165278</v>
      </c>
      <c r="F58" s="93">
        <f t="shared" si="7"/>
        <v>142362</v>
      </c>
      <c r="G58" s="93">
        <f t="shared" si="7"/>
        <v>282241</v>
      </c>
      <c r="H58" s="93">
        <f t="shared" si="7"/>
        <v>899677</v>
      </c>
      <c r="I58" s="91">
        <f t="shared" si="7"/>
        <v>2072791</v>
      </c>
      <c r="J58" s="91">
        <f>J38+J47+J56</f>
        <v>-7725379</v>
      </c>
    </row>
    <row r="59" spans="2:10" x14ac:dyDescent="0.25">
      <c r="C59" s="47"/>
      <c r="D59" s="47"/>
      <c r="E59" s="47"/>
      <c r="F59" s="47"/>
      <c r="G59" s="47"/>
      <c r="H59" s="47"/>
      <c r="I59" s="47"/>
      <c r="J59" s="47"/>
    </row>
    <row r="60" spans="2:10" x14ac:dyDescent="0.25">
      <c r="B60" s="39" t="s">
        <v>182</v>
      </c>
      <c r="C60" s="94">
        <v>16591092</v>
      </c>
      <c r="D60" s="94">
        <f>+' - FS '!C41</f>
        <v>42653693</v>
      </c>
      <c r="E60" s="94">
        <f>+' - FS '!D41</f>
        <v>10656986</v>
      </c>
      <c r="F60" s="94">
        <f>+' - FS '!E41</f>
        <v>8491708</v>
      </c>
      <c r="G60" s="94">
        <f>+' - FS '!F41</f>
        <v>8634070</v>
      </c>
      <c r="H60" s="94">
        <f>+' - FS '!G41</f>
        <v>8916311</v>
      </c>
      <c r="I60" s="94">
        <f>+' - FS '!H41</f>
        <v>9815988</v>
      </c>
      <c r="J60" s="94">
        <f>+' - FS '!I41</f>
        <v>11888779</v>
      </c>
    </row>
    <row r="61" spans="2:10" x14ac:dyDescent="0.25">
      <c r="C61" s="47"/>
      <c r="D61" s="47"/>
      <c r="E61" s="47"/>
      <c r="F61" s="47"/>
      <c r="G61" s="47"/>
      <c r="H61" s="47"/>
      <c r="I61" s="47"/>
      <c r="J61" s="47"/>
    </row>
    <row r="62" spans="2:10" x14ac:dyDescent="0.25">
      <c r="B62" s="39" t="s">
        <v>183</v>
      </c>
      <c r="C62" s="94">
        <f>+' - FS '!C41</f>
        <v>42653693</v>
      </c>
      <c r="D62" s="94">
        <f>+' - FS '!D41</f>
        <v>10656986</v>
      </c>
      <c r="E62" s="94">
        <f>+' - FS '!E41</f>
        <v>8491708</v>
      </c>
      <c r="F62" s="94">
        <f>+' - FS '!F41</f>
        <v>8634070</v>
      </c>
      <c r="G62" s="94">
        <f>+' - FS '!G41</f>
        <v>8916311</v>
      </c>
      <c r="H62" s="94">
        <f>+' - FS '!H41</f>
        <v>9815988</v>
      </c>
      <c r="I62" s="94">
        <f>+' - FS '!I41</f>
        <v>11888779</v>
      </c>
      <c r="J62" s="94">
        <f>+' - FS '!J41</f>
        <v>4163400</v>
      </c>
    </row>
    <row r="63" spans="2:10" x14ac:dyDescent="0.25">
      <c r="B63" s="35"/>
      <c r="C63" s="48"/>
      <c r="D63" s="48"/>
      <c r="E63" s="48"/>
      <c r="F63" s="48"/>
      <c r="G63" s="48"/>
      <c r="H63" s="48"/>
      <c r="I63" s="48"/>
      <c r="J63" s="48"/>
    </row>
    <row r="64" spans="2:10" x14ac:dyDescent="0.25">
      <c r="B64" s="40" t="s">
        <v>11</v>
      </c>
      <c r="C64" s="145">
        <f t="shared" ref="C64:I64" si="8">C58-(C62-C60)</f>
        <v>0</v>
      </c>
      <c r="D64" s="145">
        <f t="shared" si="8"/>
        <v>0</v>
      </c>
      <c r="E64" s="145">
        <f t="shared" si="8"/>
        <v>0</v>
      </c>
      <c r="F64" s="145">
        <f t="shared" si="8"/>
        <v>0</v>
      </c>
      <c r="G64" s="145">
        <f t="shared" si="8"/>
        <v>0</v>
      </c>
      <c r="H64" s="145">
        <f t="shared" si="8"/>
        <v>0</v>
      </c>
      <c r="I64" s="145">
        <f t="shared" si="8"/>
        <v>0</v>
      </c>
      <c r="J64" s="145">
        <f>J58-(J62-J60)</f>
        <v>0</v>
      </c>
    </row>
    <row r="65" spans="3:10" x14ac:dyDescent="0.25">
      <c r="C65" s="41"/>
      <c r="D65" s="41"/>
      <c r="E65" s="41"/>
      <c r="F65" s="41"/>
      <c r="G65" s="41"/>
      <c r="H65" s="41"/>
      <c r="I65" s="41"/>
      <c r="J65" s="41"/>
    </row>
  </sheetData>
  <hyperlinks>
    <hyperlink ref="B1" location="Index!A1" display="Home Index (click here)" xr:uid="{1F749CFD-8707-46DF-B30C-F16B0654EC16}"/>
  </hyperlinks>
  <pageMargins left="0.37" right="0.34" top="0.34" bottom="0.47" header="0.3" footer="0.3"/>
  <pageSetup paperSize="9" scale="98" fitToHeight="0" orientation="portrait" r:id="rId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B0B5B3-9A79-45D0-932B-BD247FCA8975}">
  <dimension ref="A1:J87"/>
  <sheetViews>
    <sheetView showGridLines="0" topLeftCell="A9" workbookViewId="0">
      <selection activeCell="B1" sqref="B1"/>
    </sheetView>
  </sheetViews>
  <sheetFormatPr defaultRowHeight="15.75" x14ac:dyDescent="0.25"/>
  <cols>
    <col min="1" max="1" width="6.28515625" customWidth="1"/>
  </cols>
  <sheetData>
    <row r="1" spans="1:10" ht="21" thickBot="1" x14ac:dyDescent="0.35">
      <c r="B1" s="132" t="s">
        <v>248</v>
      </c>
      <c r="C1" s="133"/>
      <c r="D1" s="133"/>
      <c r="E1" s="134"/>
    </row>
    <row r="2" spans="1:10" ht="16.5" thickBot="1" x14ac:dyDescent="0.3"/>
    <row r="3" spans="1:10" ht="21" thickBot="1" x14ac:dyDescent="0.35">
      <c r="B3" s="769" t="s">
        <v>238</v>
      </c>
      <c r="C3" s="770"/>
      <c r="D3" s="770"/>
      <c r="E3" s="770"/>
      <c r="F3" s="770"/>
      <c r="G3" s="770"/>
      <c r="H3" s="770"/>
      <c r="I3" s="770"/>
      <c r="J3" s="771"/>
    </row>
    <row r="5" spans="1:10" x14ac:dyDescent="0.25">
      <c r="B5" s="30" t="s">
        <v>239</v>
      </c>
    </row>
    <row r="6" spans="1:10" x14ac:dyDescent="0.25">
      <c r="A6" s="130"/>
      <c r="B6" s="131" t="s">
        <v>240</v>
      </c>
      <c r="C6" s="130"/>
    </row>
    <row r="7" spans="1:10" x14ac:dyDescent="0.25">
      <c r="A7" s="130"/>
      <c r="B7" s="130" t="s">
        <v>237</v>
      </c>
      <c r="C7" s="130"/>
    </row>
    <row r="8" spans="1:10" x14ac:dyDescent="0.25">
      <c r="A8" s="130"/>
      <c r="B8" s="130" t="s">
        <v>251</v>
      </c>
      <c r="C8" s="130"/>
    </row>
    <row r="10" spans="1:10" x14ac:dyDescent="0.25">
      <c r="B10" s="30" t="s">
        <v>195</v>
      </c>
      <c r="F10" s="131"/>
    </row>
    <row r="11" spans="1:10" x14ac:dyDescent="0.25">
      <c r="B11" s="131" t="s">
        <v>242</v>
      </c>
      <c r="F11" s="130"/>
    </row>
    <row r="12" spans="1:10" x14ac:dyDescent="0.25">
      <c r="B12" s="131" t="s">
        <v>241</v>
      </c>
      <c r="F12" s="130"/>
    </row>
    <row r="13" spans="1:10" x14ac:dyDescent="0.25">
      <c r="B13" s="130" t="s">
        <v>243</v>
      </c>
    </row>
    <row r="14" spans="1:10" x14ac:dyDescent="0.25">
      <c r="B14" s="130" t="s">
        <v>244</v>
      </c>
    </row>
    <row r="15" spans="1:10" x14ac:dyDescent="0.25">
      <c r="B15" s="130" t="s">
        <v>252</v>
      </c>
    </row>
    <row r="16" spans="1:10" x14ac:dyDescent="0.25">
      <c r="B16" s="130"/>
    </row>
    <row r="17" spans="2:2" x14ac:dyDescent="0.25">
      <c r="B17" s="30" t="s">
        <v>214</v>
      </c>
    </row>
    <row r="18" spans="2:2" x14ac:dyDescent="0.25">
      <c r="B18" s="131" t="s">
        <v>250</v>
      </c>
    </row>
    <row r="19" spans="2:2" x14ac:dyDescent="0.25">
      <c r="B19" s="131" t="s">
        <v>249</v>
      </c>
    </row>
    <row r="20" spans="2:2" x14ac:dyDescent="0.25">
      <c r="B20" s="131" t="s">
        <v>253</v>
      </c>
    </row>
    <row r="22" spans="2:2" x14ac:dyDescent="0.25">
      <c r="B22" s="30" t="s">
        <v>581</v>
      </c>
    </row>
    <row r="23" spans="2:2" x14ac:dyDescent="0.25">
      <c r="B23" s="131" t="s">
        <v>617</v>
      </c>
    </row>
    <row r="24" spans="2:2" x14ac:dyDescent="0.25">
      <c r="B24" s="131" t="s">
        <v>618</v>
      </c>
    </row>
    <row r="25" spans="2:2" x14ac:dyDescent="0.25">
      <c r="B25" s="131" t="s">
        <v>619</v>
      </c>
    </row>
    <row r="26" spans="2:2" x14ac:dyDescent="0.25">
      <c r="B26" s="131" t="s">
        <v>620</v>
      </c>
    </row>
    <row r="27" spans="2:2" x14ac:dyDescent="0.25">
      <c r="B27" s="131" t="s">
        <v>621</v>
      </c>
    </row>
    <row r="29" spans="2:2" ht="20.25" x14ac:dyDescent="0.25">
      <c r="B29" s="559" t="s">
        <v>630</v>
      </c>
    </row>
    <row r="30" spans="2:2" x14ac:dyDescent="0.25">
      <c r="B30" s="131" t="s">
        <v>631</v>
      </c>
    </row>
    <row r="32" spans="2:2" x14ac:dyDescent="0.25">
      <c r="B32" s="131" t="s">
        <v>675</v>
      </c>
    </row>
    <row r="33" spans="2:2" x14ac:dyDescent="0.25">
      <c r="B33" t="s">
        <v>632</v>
      </c>
    </row>
    <row r="35" spans="2:2" x14ac:dyDescent="0.25">
      <c r="B35" s="30" t="s">
        <v>676</v>
      </c>
    </row>
    <row r="36" spans="2:2" x14ac:dyDescent="0.25">
      <c r="B36" t="s">
        <v>634</v>
      </c>
    </row>
    <row r="38" spans="2:2" x14ac:dyDescent="0.25">
      <c r="B38" s="256" t="s">
        <v>635</v>
      </c>
    </row>
    <row r="39" spans="2:2" x14ac:dyDescent="0.25">
      <c r="B39" t="s">
        <v>636</v>
      </c>
    </row>
    <row r="41" spans="2:2" x14ac:dyDescent="0.25">
      <c r="B41" s="30" t="s">
        <v>195</v>
      </c>
    </row>
    <row r="42" spans="2:2" x14ac:dyDescent="0.25">
      <c r="B42" t="s">
        <v>674</v>
      </c>
    </row>
    <row r="43" spans="2:2" x14ac:dyDescent="0.25">
      <c r="B43" t="s">
        <v>673</v>
      </c>
    </row>
    <row r="45" spans="2:2" x14ac:dyDescent="0.25">
      <c r="B45" s="256" t="s">
        <v>635</v>
      </c>
    </row>
    <row r="46" spans="2:2" x14ac:dyDescent="0.25">
      <c r="B46" s="131" t="s">
        <v>637</v>
      </c>
    </row>
    <row r="47" spans="2:2" x14ac:dyDescent="0.25">
      <c r="B47" s="131"/>
    </row>
    <row r="48" spans="2:2" x14ac:dyDescent="0.25">
      <c r="B48" s="131" t="s">
        <v>638</v>
      </c>
    </row>
    <row r="49" spans="2:2" x14ac:dyDescent="0.25">
      <c r="B49" s="131" t="s">
        <v>639</v>
      </c>
    </row>
    <row r="50" spans="2:2" x14ac:dyDescent="0.25">
      <c r="B50" s="131" t="s">
        <v>640</v>
      </c>
    </row>
    <row r="51" spans="2:2" x14ac:dyDescent="0.25">
      <c r="B51" s="131"/>
    </row>
    <row r="52" spans="2:2" x14ac:dyDescent="0.25">
      <c r="B52" s="131" t="s">
        <v>641</v>
      </c>
    </row>
    <row r="54" spans="2:2" x14ac:dyDescent="0.25">
      <c r="B54" s="256" t="s">
        <v>642</v>
      </c>
    </row>
    <row r="55" spans="2:2" x14ac:dyDescent="0.25">
      <c r="B55" s="131" t="s">
        <v>668</v>
      </c>
    </row>
    <row r="56" spans="2:2" x14ac:dyDescent="0.25">
      <c r="B56" s="131" t="s">
        <v>643</v>
      </c>
    </row>
    <row r="57" spans="2:2" x14ac:dyDescent="0.25">
      <c r="B57" s="131" t="s">
        <v>644</v>
      </c>
    </row>
    <row r="58" spans="2:2" x14ac:dyDescent="0.25">
      <c r="B58" s="131" t="s">
        <v>645</v>
      </c>
    </row>
    <row r="59" spans="2:2" x14ac:dyDescent="0.25">
      <c r="B59" s="131" t="s">
        <v>646</v>
      </c>
    </row>
    <row r="60" spans="2:2" x14ac:dyDescent="0.25">
      <c r="B60" s="131" t="s">
        <v>647</v>
      </c>
    </row>
    <row r="61" spans="2:2" x14ac:dyDescent="0.25">
      <c r="B61" s="131" t="s">
        <v>648</v>
      </c>
    </row>
    <row r="62" spans="2:2" x14ac:dyDescent="0.25">
      <c r="B62" s="131" t="s">
        <v>649</v>
      </c>
    </row>
    <row r="63" spans="2:2" x14ac:dyDescent="0.25">
      <c r="B63" s="131"/>
    </row>
    <row r="64" spans="2:2" x14ac:dyDescent="0.25">
      <c r="B64" s="131" t="s">
        <v>650</v>
      </c>
    </row>
    <row r="65" spans="1:9" x14ac:dyDescent="0.25">
      <c r="B65" s="131" t="s">
        <v>651</v>
      </c>
    </row>
    <row r="66" spans="1:9" x14ac:dyDescent="0.25">
      <c r="B66" s="131"/>
    </row>
    <row r="67" spans="1:9" x14ac:dyDescent="0.25">
      <c r="B67" s="131" t="s">
        <v>652</v>
      </c>
    </row>
    <row r="68" spans="1:9" x14ac:dyDescent="0.25">
      <c r="B68" s="131"/>
    </row>
    <row r="69" spans="1:9" x14ac:dyDescent="0.25">
      <c r="B69" s="131" t="s">
        <v>653</v>
      </c>
    </row>
    <row r="70" spans="1:9" x14ac:dyDescent="0.25">
      <c r="B70" s="131"/>
    </row>
    <row r="71" spans="1:9" x14ac:dyDescent="0.25">
      <c r="B71" s="131" t="s">
        <v>654</v>
      </c>
    </row>
    <row r="72" spans="1:9" x14ac:dyDescent="0.25">
      <c r="B72" s="131" t="s">
        <v>655</v>
      </c>
      <c r="I72" s="131"/>
    </row>
    <row r="74" spans="1:9" x14ac:dyDescent="0.25">
      <c r="B74" s="555" t="s">
        <v>633</v>
      </c>
      <c r="E74" s="556" t="s">
        <v>667</v>
      </c>
      <c r="F74" s="557"/>
      <c r="H74" s="555" t="s">
        <v>661</v>
      </c>
    </row>
    <row r="75" spans="1:9" x14ac:dyDescent="0.25">
      <c r="B75" s="131"/>
      <c r="C75" s="131"/>
      <c r="D75" s="131"/>
      <c r="E75" s="131" t="s">
        <v>668</v>
      </c>
      <c r="F75" s="131"/>
      <c r="G75" s="131"/>
      <c r="H75" s="131"/>
      <c r="I75" s="131"/>
    </row>
    <row r="76" spans="1:9" x14ac:dyDescent="0.25">
      <c r="B76" s="131" t="s">
        <v>656</v>
      </c>
      <c r="C76" s="131"/>
      <c r="D76" s="131"/>
      <c r="E76" s="131" t="s">
        <v>643</v>
      </c>
      <c r="F76" s="131"/>
      <c r="G76" s="131"/>
      <c r="H76" s="131" t="s">
        <v>662</v>
      </c>
      <c r="I76" s="131"/>
    </row>
    <row r="77" spans="1:9" x14ac:dyDescent="0.25">
      <c r="A77" s="247" t="s">
        <v>628</v>
      </c>
      <c r="B77" s="131" t="s">
        <v>657</v>
      </c>
      <c r="C77" s="131"/>
      <c r="D77" s="131"/>
      <c r="E77" s="131" t="s">
        <v>644</v>
      </c>
      <c r="F77" s="131"/>
      <c r="G77" s="131" t="s">
        <v>628</v>
      </c>
      <c r="H77" s="131" t="s">
        <v>657</v>
      </c>
      <c r="I77" s="131"/>
    </row>
    <row r="78" spans="1:9" x14ac:dyDescent="0.25">
      <c r="A78" s="247" t="s">
        <v>629</v>
      </c>
      <c r="B78" s="131" t="s">
        <v>658</v>
      </c>
      <c r="C78" s="131"/>
      <c r="D78" s="131"/>
      <c r="E78" s="131" t="s">
        <v>645</v>
      </c>
      <c r="F78" s="131"/>
      <c r="G78" s="131" t="s">
        <v>629</v>
      </c>
      <c r="H78" s="131" t="s">
        <v>663</v>
      </c>
      <c r="I78" s="131"/>
    </row>
    <row r="79" spans="1:9" x14ac:dyDescent="0.25">
      <c r="A79" s="247" t="s">
        <v>629</v>
      </c>
      <c r="B79" s="131" t="s">
        <v>659</v>
      </c>
      <c r="C79" s="131"/>
      <c r="D79" s="131"/>
      <c r="E79" s="131" t="s">
        <v>669</v>
      </c>
      <c r="F79" s="131"/>
      <c r="G79" s="131" t="s">
        <v>629</v>
      </c>
      <c r="H79" s="131" t="s">
        <v>659</v>
      </c>
      <c r="I79" s="131"/>
    </row>
    <row r="80" spans="1:9" x14ac:dyDescent="0.25">
      <c r="A80" s="247" t="s">
        <v>628</v>
      </c>
      <c r="B80" s="131" t="s">
        <v>660</v>
      </c>
      <c r="C80" s="131"/>
      <c r="D80" s="131"/>
      <c r="E80" s="131" t="s">
        <v>670</v>
      </c>
      <c r="F80" s="131"/>
      <c r="G80" s="131"/>
      <c r="H80" s="131"/>
      <c r="I80" s="131"/>
    </row>
    <row r="81" spans="2:10" x14ac:dyDescent="0.25">
      <c r="B81" s="131"/>
      <c r="C81" s="131"/>
      <c r="D81" s="131"/>
      <c r="E81" s="131" t="s">
        <v>671</v>
      </c>
      <c r="F81" s="131"/>
      <c r="G81" s="131"/>
      <c r="H81" s="131"/>
      <c r="I81" s="131"/>
    </row>
    <row r="82" spans="2:10" x14ac:dyDescent="0.25">
      <c r="B82" s="131"/>
      <c r="C82" s="131"/>
      <c r="D82" s="131"/>
      <c r="E82" s="131"/>
      <c r="F82" s="131"/>
      <c r="G82" s="131"/>
      <c r="H82" s="131"/>
      <c r="I82" s="131"/>
    </row>
    <row r="83" spans="2:10" x14ac:dyDescent="0.25">
      <c r="B83" s="131"/>
      <c r="C83" s="131"/>
      <c r="D83" s="131"/>
      <c r="E83" s="131" t="s">
        <v>646</v>
      </c>
      <c r="F83" s="131"/>
      <c r="G83" s="131"/>
      <c r="H83" s="131"/>
      <c r="I83" s="131"/>
    </row>
    <row r="84" spans="2:10" x14ac:dyDescent="0.25">
      <c r="B84" s="131"/>
      <c r="C84" s="131"/>
      <c r="D84" s="131"/>
      <c r="E84" s="131" t="s">
        <v>647</v>
      </c>
      <c r="F84" s="131"/>
      <c r="G84" s="131"/>
      <c r="H84" s="131"/>
      <c r="I84" s="131"/>
    </row>
    <row r="85" spans="2:10" x14ac:dyDescent="0.25">
      <c r="B85" s="131"/>
      <c r="C85" s="131"/>
      <c r="D85" s="131"/>
      <c r="E85" s="131" t="s">
        <v>648</v>
      </c>
      <c r="F85" s="131"/>
      <c r="G85" s="131"/>
      <c r="H85" s="131"/>
      <c r="I85" s="131"/>
    </row>
    <row r="87" spans="2:10" x14ac:dyDescent="0.25">
      <c r="B87" s="555" t="s">
        <v>633</v>
      </c>
      <c r="C87" s="558" t="s">
        <v>628</v>
      </c>
      <c r="D87" s="555" t="s">
        <v>664</v>
      </c>
      <c r="E87" s="555"/>
      <c r="F87" s="558" t="s">
        <v>629</v>
      </c>
      <c r="G87" s="555" t="s">
        <v>665</v>
      </c>
      <c r="H87" s="555"/>
      <c r="I87" s="558" t="s">
        <v>672</v>
      </c>
      <c r="J87" s="555" t="s">
        <v>666</v>
      </c>
    </row>
  </sheetData>
  <mergeCells count="1">
    <mergeCell ref="B3:J3"/>
  </mergeCells>
  <hyperlinks>
    <hyperlink ref="B1" location="Index!A1" display="Home Index (click here)" xr:uid="{9B850891-256A-4463-8C5B-A96DD33C69F5}"/>
  </hyperlinks>
  <pageMargins left="0.34" right="0.23" top="0.75" bottom="0.61" header="0.3" footer="0.3"/>
  <pageSetup orientation="portrait"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6702DB-4B88-480E-AC46-B838ADB41906}">
  <dimension ref="B1:J56"/>
  <sheetViews>
    <sheetView workbookViewId="0">
      <selection activeCell="J4" sqref="J4"/>
    </sheetView>
  </sheetViews>
  <sheetFormatPr defaultColWidth="8.7109375" defaultRowHeight="15.75" x14ac:dyDescent="0.25"/>
  <cols>
    <col min="1" max="1" width="2.28515625" style="42" customWidth="1"/>
    <col min="2" max="2" width="53.7109375" style="42" customWidth="1"/>
    <col min="3" max="4" width="17.140625" style="42" customWidth="1"/>
    <col min="5" max="6" width="17.42578125" style="42" customWidth="1"/>
    <col min="7" max="7" width="17.5703125" style="42" customWidth="1"/>
    <col min="8" max="8" width="16.28515625" style="42" customWidth="1"/>
    <col min="9" max="10" width="19.140625" style="42" customWidth="1"/>
    <col min="11" max="11" width="8.7109375" style="42"/>
    <col min="12" max="12" width="13.140625" style="42" customWidth="1"/>
    <col min="13" max="13" width="15.28515625" style="42" customWidth="1"/>
    <col min="14" max="16384" width="8.7109375" style="42"/>
  </cols>
  <sheetData>
    <row r="1" spans="2:10" ht="21" thickBot="1" x14ac:dyDescent="0.35">
      <c r="B1" s="132" t="s">
        <v>248</v>
      </c>
      <c r="G1" s="136" t="s">
        <v>579</v>
      </c>
      <c r="J1" s="565" t="s">
        <v>680</v>
      </c>
    </row>
    <row r="2" spans="2:10" ht="19.5" thickBot="1" x14ac:dyDescent="0.35">
      <c r="B2" s="62" t="s">
        <v>206</v>
      </c>
      <c r="C2" s="63">
        <v>2017</v>
      </c>
      <c r="D2" s="63">
        <f t="shared" ref="D2:J2" si="0">C2+1</f>
        <v>2018</v>
      </c>
      <c r="E2" s="63">
        <f t="shared" si="0"/>
        <v>2019</v>
      </c>
      <c r="F2" s="63">
        <f t="shared" si="0"/>
        <v>2020</v>
      </c>
      <c r="G2" s="63">
        <f t="shared" si="0"/>
        <v>2021</v>
      </c>
      <c r="H2" s="64">
        <f t="shared" si="0"/>
        <v>2022</v>
      </c>
      <c r="I2" s="65">
        <f t="shared" si="0"/>
        <v>2023</v>
      </c>
      <c r="J2" s="65">
        <f t="shared" si="0"/>
        <v>2024</v>
      </c>
    </row>
    <row r="3" spans="2:10" ht="18.75" x14ac:dyDescent="0.3">
      <c r="B3" s="81" t="s">
        <v>201</v>
      </c>
      <c r="C3" s="82">
        <f t="shared" ref="C3:I3" si="1">+C52</f>
        <v>-103.4613832098</v>
      </c>
      <c r="D3" s="82">
        <f t="shared" si="1"/>
        <v>46.433662929400001</v>
      </c>
      <c r="E3" s="82">
        <f t="shared" si="1"/>
        <v>76.659812722200002</v>
      </c>
      <c r="F3" s="82">
        <f t="shared" si="1"/>
        <v>-26.289266670000004</v>
      </c>
      <c r="G3" s="82">
        <f t="shared" si="1"/>
        <v>137.87349190840001</v>
      </c>
      <c r="H3" s="82">
        <f t="shared" si="1"/>
        <v>116.23413910640001</v>
      </c>
      <c r="I3" s="83">
        <f t="shared" si="1"/>
        <v>-140.76998025</v>
      </c>
      <c r="J3" s="83">
        <f>+J52</f>
        <v>-45.748621460799995</v>
      </c>
    </row>
    <row r="4" spans="2:10" ht="19.5" thickBot="1" x14ac:dyDescent="0.35">
      <c r="B4" s="84" t="s">
        <v>211</v>
      </c>
      <c r="C4" s="85">
        <f>+'FCFE (Levered)'!C50</f>
        <v>-159.215621</v>
      </c>
      <c r="D4" s="85">
        <f>+'FCFE (Levered)'!D50</f>
        <v>1.698455</v>
      </c>
      <c r="E4" s="85">
        <f>+'FCFE (Levered)'!E50</f>
        <v>36.609028000000002</v>
      </c>
      <c r="F4" s="85">
        <f>+'FCFE (Levered)'!F50</f>
        <v>-86.017714999999995</v>
      </c>
      <c r="G4" s="85">
        <f>+'FCFE (Levered)'!G50</f>
        <v>18.946206</v>
      </c>
      <c r="H4" s="85">
        <f>+'FCFE (Levered)'!H50</f>
        <v>62.583728999999998</v>
      </c>
      <c r="I4" s="533">
        <f>+'FCFE (Levered)'!I50</f>
        <v>-121.821281</v>
      </c>
      <c r="J4" s="533">
        <f>+'FCFE (Levered)'!J50</f>
        <v>-96.250176999999994</v>
      </c>
    </row>
    <row r="5" spans="2:10" ht="19.5" thickBot="1" x14ac:dyDescent="0.35">
      <c r="I5" s="49"/>
      <c r="J5" s="565"/>
    </row>
    <row r="6" spans="2:10" ht="21" thickBot="1" x14ac:dyDescent="0.35">
      <c r="B6" s="89" t="s">
        <v>262</v>
      </c>
      <c r="H6" s="370"/>
      <c r="I6" s="50"/>
      <c r="J6" s="50"/>
    </row>
    <row r="7" spans="2:10" ht="20.25" x14ac:dyDescent="0.3">
      <c r="B7" s="128" t="s">
        <v>230</v>
      </c>
      <c r="H7" s="370"/>
    </row>
    <row r="8" spans="2:10" ht="20.25" x14ac:dyDescent="0.3">
      <c r="B8" s="128"/>
      <c r="H8" s="370"/>
    </row>
    <row r="9" spans="2:10" ht="18.75" x14ac:dyDescent="0.3">
      <c r="B9" s="1" t="s">
        <v>256</v>
      </c>
      <c r="I9" s="136"/>
      <c r="J9" s="136"/>
    </row>
    <row r="10" spans="2:10" ht="19.5" thickBot="1" x14ac:dyDescent="0.35">
      <c r="B10" s="1"/>
      <c r="E10" s="50"/>
      <c r="F10" s="51"/>
    </row>
    <row r="11" spans="2:10" ht="16.5" thickBot="1" x14ac:dyDescent="0.3">
      <c r="B11" s="45" t="s">
        <v>202</v>
      </c>
      <c r="C11" s="146">
        <f>0.0254</f>
        <v>2.5399999999999999E-2</v>
      </c>
      <c r="E11" s="50"/>
      <c r="F11" s="51"/>
    </row>
    <row r="12" spans="2:10" ht="16.5" thickBot="1" x14ac:dyDescent="0.3">
      <c r="I12" s="49"/>
      <c r="J12" s="49" t="s">
        <v>680</v>
      </c>
    </row>
    <row r="13" spans="2:10" ht="18.75" x14ac:dyDescent="0.3">
      <c r="B13" s="62" t="s">
        <v>206</v>
      </c>
      <c r="C13" s="63">
        <v>2017</v>
      </c>
      <c r="D13" s="63">
        <f t="shared" ref="D13:J13" si="2">C13+1</f>
        <v>2018</v>
      </c>
      <c r="E13" s="63">
        <f t="shared" si="2"/>
        <v>2019</v>
      </c>
      <c r="F13" s="63">
        <f t="shared" si="2"/>
        <v>2020</v>
      </c>
      <c r="G13" s="63">
        <f t="shared" si="2"/>
        <v>2021</v>
      </c>
      <c r="H13" s="64">
        <f t="shared" si="2"/>
        <v>2022</v>
      </c>
      <c r="I13" s="65">
        <f t="shared" si="2"/>
        <v>2023</v>
      </c>
      <c r="J13" s="65">
        <f t="shared" si="2"/>
        <v>2024</v>
      </c>
    </row>
    <row r="14" spans="2:10" ht="18.75" x14ac:dyDescent="0.3">
      <c r="B14" s="66"/>
      <c r="C14" s="527"/>
      <c r="D14" s="527"/>
      <c r="E14" s="527"/>
      <c r="F14" s="527"/>
      <c r="G14" s="527"/>
      <c r="H14" s="527"/>
      <c r="I14" s="67"/>
      <c r="J14" s="67"/>
    </row>
    <row r="15" spans="2:10" x14ac:dyDescent="0.25">
      <c r="B15" s="68" t="s">
        <v>236</v>
      </c>
      <c r="C15" s="69">
        <f>+EBITDA!C17 *(1-$C$11)</f>
        <v>-955023.20980000007</v>
      </c>
      <c r="D15" s="69">
        <f>+EBITDA!D17 *(1-$C$11)</f>
        <v>108541434.9294</v>
      </c>
      <c r="E15" s="69">
        <f>+EBITDA!E17 *(1-$C$11)</f>
        <v>36748761.722199999</v>
      </c>
      <c r="F15" s="69">
        <f>+EBITDA!F17 *(1-$C$11)</f>
        <v>-9204073.6699999999</v>
      </c>
      <c r="G15" s="69">
        <f>+EBITDA!G17 *(1-$C$11)</f>
        <v>125174557.9084</v>
      </c>
      <c r="H15" s="69">
        <f>+EBITDA!H17 *(1-$C$11)</f>
        <v>257318262.10640001</v>
      </c>
      <c r="I15" s="70">
        <f>+EBITDA!I17 *(1-$C$11)</f>
        <v>-71341938.25</v>
      </c>
      <c r="J15" s="70">
        <f>+EBITDA!J17 *(1-$C$11)</f>
        <v>-12314897.460799992</v>
      </c>
    </row>
    <row r="16" spans="2:10" x14ac:dyDescent="0.25">
      <c r="B16" s="58" t="s">
        <v>260</v>
      </c>
      <c r="C16" s="69"/>
      <c r="D16" s="69"/>
      <c r="E16" s="69"/>
      <c r="F16" s="69"/>
      <c r="G16" s="69"/>
      <c r="H16" s="69"/>
      <c r="I16" s="70"/>
      <c r="J16" s="70"/>
    </row>
    <row r="17" spans="2:10" x14ac:dyDescent="0.25">
      <c r="B17" s="56"/>
      <c r="C17" s="69"/>
      <c r="D17" s="69"/>
      <c r="E17" s="69"/>
      <c r="F17" s="69"/>
      <c r="G17" s="69"/>
      <c r="H17" s="69"/>
      <c r="I17" s="70"/>
      <c r="J17" s="70"/>
    </row>
    <row r="18" spans="2:10" x14ac:dyDescent="0.25">
      <c r="B18" s="71" t="s">
        <v>203</v>
      </c>
      <c r="C18" s="69"/>
      <c r="D18" s="69"/>
      <c r="E18" s="69"/>
      <c r="F18" s="69"/>
      <c r="G18" s="69"/>
      <c r="H18" s="69"/>
      <c r="I18" s="70"/>
      <c r="J18" s="70"/>
    </row>
    <row r="19" spans="2:10" x14ac:dyDescent="0.25">
      <c r="B19" s="72" t="s">
        <v>188</v>
      </c>
      <c r="C19" s="69">
        <v>0</v>
      </c>
      <c r="D19" s="69">
        <v>2491709</v>
      </c>
      <c r="E19" s="69">
        <v>1997470</v>
      </c>
      <c r="F19" s="69">
        <v>1500000</v>
      </c>
      <c r="G19" s="69">
        <v>0</v>
      </c>
      <c r="H19" s="69">
        <v>0</v>
      </c>
      <c r="I19" s="530">
        <v>0</v>
      </c>
      <c r="J19" s="530">
        <v>0</v>
      </c>
    </row>
    <row r="20" spans="2:10" x14ac:dyDescent="0.25">
      <c r="B20" s="72" t="s">
        <v>189</v>
      </c>
      <c r="C20" s="69">
        <v>1311756</v>
      </c>
      <c r="D20" s="69">
        <v>846168</v>
      </c>
      <c r="E20" s="69">
        <v>1434604</v>
      </c>
      <c r="F20" s="69">
        <v>1840000</v>
      </c>
      <c r="G20" s="69">
        <v>0</v>
      </c>
      <c r="H20" s="69">
        <v>0</v>
      </c>
      <c r="I20" s="530">
        <v>0</v>
      </c>
      <c r="J20" s="530">
        <v>0</v>
      </c>
    </row>
    <row r="21" spans="2:10" x14ac:dyDescent="0.25">
      <c r="B21" s="72" t="s">
        <v>190</v>
      </c>
      <c r="C21" s="69">
        <v>-133429</v>
      </c>
      <c r="D21" s="69">
        <v>-70491</v>
      </c>
      <c r="E21" s="69">
        <v>0</v>
      </c>
      <c r="F21" s="69">
        <v>-108749</v>
      </c>
      <c r="G21" s="69">
        <v>0</v>
      </c>
      <c r="H21" s="69">
        <v>0</v>
      </c>
      <c r="I21" s="530">
        <v>0</v>
      </c>
      <c r="J21" s="530">
        <v>0</v>
      </c>
    </row>
    <row r="22" spans="2:10" x14ac:dyDescent="0.25">
      <c r="B22" s="72" t="s">
        <v>157</v>
      </c>
      <c r="C22" s="69">
        <f>72580832-26460224</f>
        <v>46120608</v>
      </c>
      <c r="D22" s="69">
        <v>73121146</v>
      </c>
      <c r="E22" s="69">
        <v>74308579</v>
      </c>
      <c r="F22" s="69">
        <v>70357811</v>
      </c>
      <c r="G22" s="69">
        <v>70018812</v>
      </c>
      <c r="H22" s="69">
        <v>67307175</v>
      </c>
      <c r="I22" s="530">
        <v>67821335</v>
      </c>
      <c r="J22" s="530">
        <f>+' - CFS'!J13</f>
        <v>33744816</v>
      </c>
    </row>
    <row r="23" spans="2:10" x14ac:dyDescent="0.25">
      <c r="B23" s="72" t="s">
        <v>158</v>
      </c>
      <c r="C23" s="69">
        <v>0</v>
      </c>
      <c r="D23" s="69">
        <v>0</v>
      </c>
      <c r="E23" s="69">
        <v>0</v>
      </c>
      <c r="F23" s="69">
        <v>11168</v>
      </c>
      <c r="G23" s="69">
        <v>528033</v>
      </c>
      <c r="H23" s="69">
        <v>405894</v>
      </c>
      <c r="I23" s="530">
        <v>76105</v>
      </c>
      <c r="J23" s="530">
        <f>+' - CFS'!J14</f>
        <v>37110</v>
      </c>
    </row>
    <row r="24" spans="2:10" x14ac:dyDescent="0.25">
      <c r="B24" s="72" t="s">
        <v>159</v>
      </c>
      <c r="C24" s="69">
        <v>0</v>
      </c>
      <c r="D24" s="69">
        <v>0</v>
      </c>
      <c r="E24" s="69">
        <v>814875</v>
      </c>
      <c r="F24" s="69">
        <v>893924</v>
      </c>
      <c r="G24" s="69">
        <v>2715717</v>
      </c>
      <c r="H24" s="69">
        <v>3647404</v>
      </c>
      <c r="I24" s="530">
        <v>3888711</v>
      </c>
      <c r="J24" s="530">
        <f>+' - CFS'!J15</f>
        <v>1779789</v>
      </c>
    </row>
    <row r="25" spans="2:10" x14ac:dyDescent="0.25">
      <c r="B25" s="72" t="s">
        <v>160</v>
      </c>
      <c r="C25" s="69">
        <v>909126</v>
      </c>
      <c r="D25" s="69">
        <v>484633</v>
      </c>
      <c r="E25" s="69">
        <v>442961</v>
      </c>
      <c r="F25" s="69">
        <v>276205</v>
      </c>
      <c r="G25" s="69">
        <v>149602</v>
      </c>
      <c r="H25" s="69">
        <v>168614</v>
      </c>
      <c r="I25" s="530">
        <v>213104</v>
      </c>
      <c r="J25" s="530">
        <f>+' - CFS'!J16</f>
        <v>88144</v>
      </c>
    </row>
    <row r="26" spans="2:10" x14ac:dyDescent="0.25">
      <c r="B26" s="72" t="s">
        <v>161</v>
      </c>
      <c r="C26" s="69">
        <v>5203638</v>
      </c>
      <c r="D26" s="69">
        <v>5544732</v>
      </c>
      <c r="E26" s="69">
        <v>5821266</v>
      </c>
      <c r="F26" s="69">
        <v>4868295</v>
      </c>
      <c r="G26" s="69">
        <v>3912230</v>
      </c>
      <c r="H26" s="69">
        <v>4464864</v>
      </c>
      <c r="I26" s="530">
        <v>5675711</v>
      </c>
      <c r="J26" s="530">
        <f>+' - CFS'!J17</f>
        <v>3029696</v>
      </c>
    </row>
    <row r="27" spans="2:10" x14ac:dyDescent="0.25">
      <c r="B27" s="72" t="s">
        <v>193</v>
      </c>
      <c r="C27" s="69">
        <v>-2450322</v>
      </c>
      <c r="D27" s="69">
        <v>2200821</v>
      </c>
      <c r="E27" s="69">
        <v>0</v>
      </c>
      <c r="F27" s="69">
        <v>0</v>
      </c>
      <c r="G27" s="69">
        <v>91382</v>
      </c>
      <c r="H27" s="69">
        <v>0</v>
      </c>
      <c r="I27" s="530">
        <v>3100</v>
      </c>
      <c r="J27" s="530">
        <v>0</v>
      </c>
    </row>
    <row r="28" spans="2:10" x14ac:dyDescent="0.25">
      <c r="B28" s="72" t="s">
        <v>162</v>
      </c>
      <c r="C28" s="69">
        <v>0</v>
      </c>
      <c r="D28" s="69">
        <v>0</v>
      </c>
      <c r="E28" s="69">
        <v>0</v>
      </c>
      <c r="F28" s="69">
        <v>0</v>
      </c>
      <c r="G28" s="69">
        <v>-5000</v>
      </c>
      <c r="H28" s="69">
        <v>0</v>
      </c>
      <c r="I28" s="530">
        <v>0</v>
      </c>
      <c r="J28" s="530">
        <v>0</v>
      </c>
    </row>
    <row r="29" spans="2:10" x14ac:dyDescent="0.25">
      <c r="B29" s="72" t="s">
        <v>163</v>
      </c>
      <c r="C29" s="69">
        <v>0</v>
      </c>
      <c r="D29" s="69">
        <v>0</v>
      </c>
      <c r="E29" s="69">
        <v>180150</v>
      </c>
      <c r="F29" s="69">
        <v>897475</v>
      </c>
      <c r="G29" s="69">
        <v>1366450</v>
      </c>
      <c r="H29" s="69">
        <v>1191470</v>
      </c>
      <c r="I29" s="530">
        <v>1676228</v>
      </c>
      <c r="J29" s="530">
        <f>+' - CFS'!J20</f>
        <v>1283225</v>
      </c>
    </row>
    <row r="30" spans="2:10" x14ac:dyDescent="0.25">
      <c r="B30" s="147" t="s">
        <v>259</v>
      </c>
      <c r="C30" s="69">
        <v>0</v>
      </c>
      <c r="D30" s="69">
        <v>0</v>
      </c>
      <c r="E30" s="69">
        <v>0</v>
      </c>
      <c r="F30" s="69">
        <v>0</v>
      </c>
      <c r="G30" s="69">
        <v>0</v>
      </c>
      <c r="H30" s="69">
        <v>0</v>
      </c>
      <c r="I30" s="70">
        <v>0</v>
      </c>
      <c r="J30" s="70">
        <v>0</v>
      </c>
    </row>
    <row r="31" spans="2:10" x14ac:dyDescent="0.25">
      <c r="B31" s="73" t="s">
        <v>199</v>
      </c>
      <c r="C31" s="48">
        <v>-2156928</v>
      </c>
      <c r="D31" s="48">
        <v>-2275264</v>
      </c>
      <c r="E31" s="48">
        <v>-2840173</v>
      </c>
      <c r="F31" s="48">
        <v>-3145704</v>
      </c>
      <c r="G31" s="48">
        <v>-2956531</v>
      </c>
      <c r="H31" s="48">
        <v>-2843014</v>
      </c>
      <c r="I31" s="74">
        <v>-2978122</v>
      </c>
      <c r="J31" s="74">
        <f>+' - CFS'!J22</f>
        <v>-837337</v>
      </c>
    </row>
    <row r="32" spans="2:10" x14ac:dyDescent="0.25">
      <c r="B32" s="75" t="s">
        <v>205</v>
      </c>
      <c r="C32" s="76">
        <f t="shared" ref="C32:I32" si="3">SUM(C19:C31)</f>
        <v>48804449</v>
      </c>
      <c r="D32" s="76">
        <f t="shared" si="3"/>
        <v>82343454</v>
      </c>
      <c r="E32" s="76">
        <f t="shared" si="3"/>
        <v>82159732</v>
      </c>
      <c r="F32" s="76">
        <f t="shared" si="3"/>
        <v>77390425</v>
      </c>
      <c r="G32" s="76">
        <f t="shared" si="3"/>
        <v>75820695</v>
      </c>
      <c r="H32" s="76">
        <f t="shared" si="3"/>
        <v>74342407</v>
      </c>
      <c r="I32" s="77">
        <f t="shared" si="3"/>
        <v>76376172</v>
      </c>
      <c r="J32" s="77">
        <f>SUM(J19:J31)</f>
        <v>39125443</v>
      </c>
    </row>
    <row r="33" spans="2:10" x14ac:dyDescent="0.25">
      <c r="B33" s="56"/>
      <c r="C33" s="69"/>
      <c r="D33" s="69"/>
      <c r="E33" s="69"/>
      <c r="F33" s="69"/>
      <c r="G33" s="69"/>
      <c r="H33" s="69"/>
      <c r="I33" s="70"/>
      <c r="J33" s="70"/>
    </row>
    <row r="34" spans="2:10" x14ac:dyDescent="0.25">
      <c r="B34" s="71" t="s">
        <v>215</v>
      </c>
      <c r="C34" s="69"/>
      <c r="D34" s="69"/>
      <c r="E34" s="69"/>
      <c r="F34" s="69"/>
      <c r="G34" s="69"/>
      <c r="H34" s="69"/>
      <c r="I34" s="70"/>
      <c r="J34" s="70"/>
    </row>
    <row r="35" spans="2:10" x14ac:dyDescent="0.25">
      <c r="B35" s="72" t="s">
        <v>172</v>
      </c>
      <c r="C35" s="69">
        <v>-42930689</v>
      </c>
      <c r="D35" s="69">
        <v>-39520642</v>
      </c>
      <c r="E35" s="69">
        <v>-36507718</v>
      </c>
      <c r="F35" s="69">
        <v>-39270781</v>
      </c>
      <c r="G35" s="69">
        <v>-26962837</v>
      </c>
      <c r="H35" s="69">
        <v>-52471654</v>
      </c>
      <c r="I35" s="531">
        <v>-62144784</v>
      </c>
      <c r="J35" s="531">
        <f>+' - CFS'!J41</f>
        <v>-19386239</v>
      </c>
    </row>
    <row r="36" spans="2:10" x14ac:dyDescent="0.25">
      <c r="B36" s="72" t="s">
        <v>173</v>
      </c>
      <c r="C36" s="69">
        <v>183249</v>
      </c>
      <c r="D36" s="69">
        <v>72529</v>
      </c>
      <c r="E36" s="69">
        <v>265250</v>
      </c>
      <c r="F36" s="69">
        <v>1142368</v>
      </c>
      <c r="G36" s="69">
        <v>285783</v>
      </c>
      <c r="H36" s="69">
        <v>62170</v>
      </c>
      <c r="I36" s="531">
        <v>967210</v>
      </c>
      <c r="J36" s="531">
        <v>0</v>
      </c>
    </row>
    <row r="37" spans="2:10" x14ac:dyDescent="0.25">
      <c r="B37" s="72" t="s">
        <v>200</v>
      </c>
      <c r="C37" s="69">
        <v>-401694</v>
      </c>
      <c r="D37" s="69">
        <v>-36120</v>
      </c>
      <c r="E37" s="69">
        <v>-711380</v>
      </c>
      <c r="F37" s="69">
        <v>-235774</v>
      </c>
      <c r="G37" s="69">
        <v>0</v>
      </c>
      <c r="H37" s="69">
        <v>-986494</v>
      </c>
      <c r="I37" s="531">
        <v>-146674</v>
      </c>
      <c r="J37" s="531">
        <v>0</v>
      </c>
    </row>
    <row r="38" spans="2:10" x14ac:dyDescent="0.25">
      <c r="B38" s="72" t="s">
        <v>174</v>
      </c>
      <c r="C38" s="69">
        <v>0</v>
      </c>
      <c r="D38" s="69">
        <v>0</v>
      </c>
      <c r="E38" s="69">
        <v>0</v>
      </c>
      <c r="F38" s="69">
        <v>0</v>
      </c>
      <c r="G38" s="69">
        <v>-22522</v>
      </c>
      <c r="H38" s="69">
        <v>-622114</v>
      </c>
      <c r="I38" s="531">
        <v>-191275</v>
      </c>
      <c r="J38" s="531">
        <v>0</v>
      </c>
    </row>
    <row r="39" spans="2:10" x14ac:dyDescent="0.25">
      <c r="B39" s="73" t="s">
        <v>191</v>
      </c>
      <c r="C39" s="48">
        <v>500000</v>
      </c>
      <c r="D39" s="48">
        <v>-231867</v>
      </c>
      <c r="E39" s="48">
        <v>0</v>
      </c>
      <c r="F39" s="48">
        <v>1800000</v>
      </c>
      <c r="G39" s="48">
        <v>0</v>
      </c>
      <c r="H39" s="48">
        <v>0</v>
      </c>
      <c r="I39" s="74">
        <v>-648000</v>
      </c>
      <c r="J39" s="74">
        <v>0</v>
      </c>
    </row>
    <row r="40" spans="2:10" x14ac:dyDescent="0.25">
      <c r="B40" s="58" t="s">
        <v>216</v>
      </c>
      <c r="C40" s="76">
        <f t="shared" ref="C40:H40" si="4">SUM(C35:C39)</f>
        <v>-42649134</v>
      </c>
      <c r="D40" s="76">
        <f t="shared" si="4"/>
        <v>-39716100</v>
      </c>
      <c r="E40" s="76">
        <f t="shared" si="4"/>
        <v>-36953848</v>
      </c>
      <c r="F40" s="76">
        <f t="shared" si="4"/>
        <v>-36564187</v>
      </c>
      <c r="G40" s="76">
        <f>SUM(G35:G39)</f>
        <v>-26699576</v>
      </c>
      <c r="H40" s="76">
        <f t="shared" si="4"/>
        <v>-54018092</v>
      </c>
      <c r="I40" s="77">
        <f>SUM(I35:I39)</f>
        <v>-62163523</v>
      </c>
      <c r="J40" s="77">
        <f>SUM(J35:J39)</f>
        <v>-19386239</v>
      </c>
    </row>
    <row r="41" spans="2:10" x14ac:dyDescent="0.25">
      <c r="B41" s="56"/>
      <c r="C41" s="69"/>
      <c r="D41" s="69"/>
      <c r="E41" s="69"/>
      <c r="F41" s="69"/>
      <c r="G41" s="69"/>
      <c r="H41" s="69"/>
      <c r="I41" s="70"/>
      <c r="J41" s="70"/>
    </row>
    <row r="42" spans="2:10" x14ac:dyDescent="0.25">
      <c r="B42" s="71" t="s">
        <v>217</v>
      </c>
      <c r="C42" s="69"/>
      <c r="D42" s="69"/>
      <c r="E42" s="69"/>
      <c r="F42" s="69"/>
      <c r="G42" s="69"/>
      <c r="H42" s="69"/>
      <c r="I42" s="70"/>
      <c r="J42" s="70"/>
    </row>
    <row r="43" spans="2:10" x14ac:dyDescent="0.25">
      <c r="B43" s="72" t="s">
        <v>165</v>
      </c>
      <c r="C43" s="69">
        <v>15924424</v>
      </c>
      <c r="D43" s="69">
        <v>-18122306</v>
      </c>
      <c r="E43" s="69">
        <v>0</v>
      </c>
      <c r="F43" s="69">
        <v>0</v>
      </c>
      <c r="G43" s="69">
        <v>-11098933</v>
      </c>
      <c r="H43" s="69">
        <v>-39857488</v>
      </c>
      <c r="I43" s="531">
        <v>39972234</v>
      </c>
      <c r="J43" s="531">
        <f>+' - CFS'!J25</f>
        <v>3269822</v>
      </c>
    </row>
    <row r="44" spans="2:10" x14ac:dyDescent="0.25">
      <c r="B44" s="72" t="s">
        <v>50</v>
      </c>
      <c r="C44" s="69">
        <v>40547988</v>
      </c>
      <c r="D44" s="69">
        <v>-86522147</v>
      </c>
      <c r="E44" s="69">
        <v>-24697053</v>
      </c>
      <c r="F44" s="69">
        <v>77010650</v>
      </c>
      <c r="G44" s="69">
        <v>-83095685</v>
      </c>
      <c r="H44" s="69">
        <v>-119978369</v>
      </c>
      <c r="I44" s="531">
        <v>47131965</v>
      </c>
      <c r="J44" s="531">
        <f>+' - CFS'!J26</f>
        <v>32118469</v>
      </c>
    </row>
    <row r="45" spans="2:10" x14ac:dyDescent="0.25">
      <c r="B45" s="72" t="s">
        <v>166</v>
      </c>
      <c r="C45" s="69">
        <v>0</v>
      </c>
      <c r="D45" s="69">
        <v>0</v>
      </c>
      <c r="E45" s="69">
        <v>-607832</v>
      </c>
      <c r="F45" s="69">
        <v>27691256</v>
      </c>
      <c r="G45" s="69">
        <v>2604437</v>
      </c>
      <c r="H45" s="69">
        <v>6604482</v>
      </c>
      <c r="I45" s="531">
        <v>3303729</v>
      </c>
      <c r="J45" s="531">
        <f>+' - CFS'!J27</f>
        <v>-4734133</v>
      </c>
    </row>
    <row r="46" spans="2:10" x14ac:dyDescent="0.25">
      <c r="B46" s="72" t="s">
        <v>198</v>
      </c>
      <c r="C46" s="69">
        <v>52189263</v>
      </c>
      <c r="D46" s="69">
        <v>-90673</v>
      </c>
      <c r="E46" s="69">
        <v>20010052</v>
      </c>
      <c r="F46" s="69">
        <v>-46790475</v>
      </c>
      <c r="G46" s="69">
        <v>31581969</v>
      </c>
      <c r="H46" s="69">
        <v>8289373</v>
      </c>
      <c r="I46" s="531">
        <v>-9739993</v>
      </c>
      <c r="J46" s="531">
        <f>+' - CFS'!J28</f>
        <v>25617788</v>
      </c>
    </row>
    <row r="47" spans="2:10" x14ac:dyDescent="0.25">
      <c r="B47" s="73" t="s">
        <v>167</v>
      </c>
      <c r="C47" s="48">
        <v>0</v>
      </c>
      <c r="D47" s="48">
        <v>0</v>
      </c>
      <c r="E47" s="48">
        <v>0</v>
      </c>
      <c r="F47" s="48">
        <v>0</v>
      </c>
      <c r="G47" s="48">
        <v>23586027</v>
      </c>
      <c r="H47" s="48">
        <v>-16466436</v>
      </c>
      <c r="I47" s="532">
        <v>2972756</v>
      </c>
      <c r="J47" s="532">
        <f>+' - CFS'!J29</f>
        <v>-3099018</v>
      </c>
    </row>
    <row r="48" spans="2:10" ht="16.5" thickBot="1" x14ac:dyDescent="0.3">
      <c r="B48" s="78" t="s">
        <v>218</v>
      </c>
      <c r="C48" s="79">
        <f t="shared" ref="C48:I48" si="5">SUM(C43:C47)</f>
        <v>108661675</v>
      </c>
      <c r="D48" s="79">
        <f t="shared" si="5"/>
        <v>-104735126</v>
      </c>
      <c r="E48" s="79">
        <f t="shared" si="5"/>
        <v>-5294833</v>
      </c>
      <c r="F48" s="79">
        <f t="shared" si="5"/>
        <v>57911431</v>
      </c>
      <c r="G48" s="79">
        <f t="shared" si="5"/>
        <v>-36422185</v>
      </c>
      <c r="H48" s="79">
        <f t="shared" si="5"/>
        <v>-161408438</v>
      </c>
      <c r="I48" s="80">
        <f t="shared" si="5"/>
        <v>83640691</v>
      </c>
      <c r="J48" s="80">
        <f>SUM(J43:J47)</f>
        <v>53172928</v>
      </c>
    </row>
    <row r="49" spans="2:10" ht="16.5" thickBot="1" x14ac:dyDescent="0.3">
      <c r="B49" s="56"/>
      <c r="I49" s="57"/>
      <c r="J49" s="57"/>
    </row>
    <row r="50" spans="2:10" ht="19.5" thickBot="1" x14ac:dyDescent="0.35">
      <c r="B50" s="45" t="s">
        <v>257</v>
      </c>
      <c r="C50" s="53">
        <f>C15+C32+C40-C48</f>
        <v>-103461383.2098</v>
      </c>
      <c r="D50" s="53">
        <f>D15+D32+D40+D48</f>
        <v>46433662.929399997</v>
      </c>
      <c r="E50" s="53">
        <f>E15+E32+E40+E48</f>
        <v>76659812.722200006</v>
      </c>
      <c r="F50" s="53">
        <f>F15+F32+F40-F48</f>
        <v>-26289266.670000002</v>
      </c>
      <c r="G50" s="53">
        <f>G15+G32+G40+G48</f>
        <v>137873491.9084</v>
      </c>
      <c r="H50" s="53">
        <f>H15+H32+H40+H48</f>
        <v>116234139.10640001</v>
      </c>
      <c r="I50" s="54">
        <f>I15+I32+I40-I48</f>
        <v>-140769980.25</v>
      </c>
      <c r="J50" s="54">
        <f>J15+J32+J40-J48</f>
        <v>-45748621.460799992</v>
      </c>
    </row>
    <row r="51" spans="2:10" ht="16.5" thickBot="1" x14ac:dyDescent="0.3">
      <c r="B51" s="56"/>
      <c r="I51" s="57"/>
      <c r="J51" s="57"/>
    </row>
    <row r="52" spans="2:10" ht="19.5" thickBot="1" x14ac:dyDescent="0.35">
      <c r="B52" s="86" t="s">
        <v>258</v>
      </c>
      <c r="C52" s="87">
        <f t="shared" ref="C52:I52" si="6">C50/1000000</f>
        <v>-103.4613832098</v>
      </c>
      <c r="D52" s="87">
        <f t="shared" si="6"/>
        <v>46.433662929400001</v>
      </c>
      <c r="E52" s="87">
        <f t="shared" si="6"/>
        <v>76.659812722200002</v>
      </c>
      <c r="F52" s="87">
        <f t="shared" si="6"/>
        <v>-26.289266670000004</v>
      </c>
      <c r="G52" s="87">
        <f t="shared" si="6"/>
        <v>137.87349190840001</v>
      </c>
      <c r="H52" s="87">
        <f t="shared" si="6"/>
        <v>116.23413910640001</v>
      </c>
      <c r="I52" s="88">
        <f t="shared" si="6"/>
        <v>-140.76998025</v>
      </c>
      <c r="J52" s="88">
        <f>J50/1000000</f>
        <v>-45.748621460799995</v>
      </c>
    </row>
    <row r="53" spans="2:10" ht="16.5" thickBot="1" x14ac:dyDescent="0.3">
      <c r="B53" s="59"/>
      <c r="C53" s="60"/>
      <c r="D53" s="60"/>
      <c r="E53" s="60"/>
      <c r="F53" s="60"/>
      <c r="G53" s="60"/>
      <c r="H53" s="60"/>
      <c r="I53" s="61"/>
      <c r="J53" s="61"/>
    </row>
    <row r="55" spans="2:10" x14ac:dyDescent="0.25">
      <c r="D55" s="52"/>
    </row>
    <row r="56" spans="2:10" ht="30.75" x14ac:dyDescent="0.45">
      <c r="B56" s="148" t="s">
        <v>261</v>
      </c>
    </row>
  </sheetData>
  <hyperlinks>
    <hyperlink ref="B1" location="Index!A1" display="Home Index (click here)" xr:uid="{58F7587C-FBAF-431B-928D-2195E779C778}"/>
  </hyperlinks>
  <pageMargins left="0.7" right="0.7" top="0.75" bottom="0.75" header="0.3" footer="0.3"/>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7FDB41-98A5-447E-BD1C-F1C48473D294}">
  <dimension ref="B1:K52"/>
  <sheetViews>
    <sheetView zoomScaleNormal="100" workbookViewId="0">
      <selection activeCell="B1" sqref="B1"/>
    </sheetView>
  </sheetViews>
  <sheetFormatPr defaultColWidth="8.7109375" defaultRowHeight="15.75" x14ac:dyDescent="0.25"/>
  <cols>
    <col min="1" max="1" width="4.42578125" style="42" customWidth="1"/>
    <col min="2" max="2" width="53.85546875" style="42" customWidth="1"/>
    <col min="3" max="3" width="21" style="42" customWidth="1"/>
    <col min="4" max="4" width="22" style="42" customWidth="1"/>
    <col min="5" max="5" width="18.85546875" style="42" bestFit="1" customWidth="1"/>
    <col min="6" max="6" width="19.42578125" style="42" customWidth="1"/>
    <col min="7" max="7" width="21.140625" style="42" customWidth="1"/>
    <col min="8" max="8" width="20.28515625" style="42" customWidth="1"/>
    <col min="9" max="10" width="19.28515625" style="42" customWidth="1"/>
    <col min="11" max="11" width="13.7109375" style="42" customWidth="1"/>
    <col min="12" max="12" width="18.7109375" style="42" customWidth="1"/>
    <col min="13" max="16384" width="8.7109375" style="42"/>
  </cols>
  <sheetData>
    <row r="1" spans="2:10" ht="21" thickBot="1" x14ac:dyDescent="0.35">
      <c r="B1" s="132" t="s">
        <v>248</v>
      </c>
    </row>
    <row r="2" spans="2:10" ht="16.5" thickBot="1" x14ac:dyDescent="0.3">
      <c r="G2" s="492"/>
    </row>
    <row r="3" spans="2:10" ht="23.25" thickBot="1" x14ac:dyDescent="0.35">
      <c r="B3" s="89" t="s">
        <v>263</v>
      </c>
      <c r="E3" s="50"/>
      <c r="F3" s="51"/>
      <c r="G3" s="492"/>
    </row>
    <row r="4" spans="2:10" ht="20.25" x14ac:dyDescent="0.3">
      <c r="B4" s="128" t="s">
        <v>231</v>
      </c>
    </row>
    <row r="5" spans="2:10" ht="20.25" x14ac:dyDescent="0.3">
      <c r="F5" s="128"/>
    </row>
    <row r="6" spans="2:10" ht="18.75" x14ac:dyDescent="0.3">
      <c r="B6" s="1" t="s">
        <v>229</v>
      </c>
      <c r="F6" s="1"/>
    </row>
    <row r="7" spans="2:10" ht="19.5" thickBot="1" x14ac:dyDescent="0.35">
      <c r="B7" s="1"/>
      <c r="J7" s="49" t="s">
        <v>680</v>
      </c>
    </row>
    <row r="8" spans="2:10" ht="18.75" x14ac:dyDescent="0.3">
      <c r="B8" s="62" t="s">
        <v>206</v>
      </c>
      <c r="C8" s="63">
        <v>2017</v>
      </c>
      <c r="D8" s="63">
        <f t="shared" ref="D8:J8" si="0">C8+1</f>
        <v>2018</v>
      </c>
      <c r="E8" s="63">
        <f t="shared" si="0"/>
        <v>2019</v>
      </c>
      <c r="F8" s="63">
        <f t="shared" si="0"/>
        <v>2020</v>
      </c>
      <c r="G8" s="63">
        <f t="shared" si="0"/>
        <v>2021</v>
      </c>
      <c r="H8" s="64">
        <f t="shared" si="0"/>
        <v>2022</v>
      </c>
      <c r="I8" s="65">
        <f t="shared" si="0"/>
        <v>2023</v>
      </c>
      <c r="J8" s="65">
        <f t="shared" si="0"/>
        <v>2024</v>
      </c>
    </row>
    <row r="9" spans="2:10" ht="18.75" x14ac:dyDescent="0.3">
      <c r="B9" s="66"/>
      <c r="C9" s="527"/>
      <c r="D9" s="527"/>
      <c r="E9" s="527"/>
      <c r="F9" s="527"/>
      <c r="G9" s="527"/>
      <c r="H9" s="527"/>
      <c r="I9" s="67"/>
      <c r="J9" s="67"/>
    </row>
    <row r="10" spans="2:10" x14ac:dyDescent="0.25">
      <c r="B10" s="68" t="s">
        <v>204</v>
      </c>
      <c r="C10" s="76">
        <f>+' - FS '!C20</f>
        <v>-34413254</v>
      </c>
      <c r="D10" s="76">
        <f>+' - FS '!D20</f>
        <v>77515763</v>
      </c>
      <c r="E10" s="76">
        <f>+' - FS '!E20</f>
        <v>2691909</v>
      </c>
      <c r="F10" s="76">
        <f>+' - FS '!F20</f>
        <v>-35625741</v>
      </c>
      <c r="G10" s="76">
        <f>+' - FS '!G20</f>
        <v>105200549</v>
      </c>
      <c r="H10" s="76">
        <f>+' - FS '!H20</f>
        <v>233444317</v>
      </c>
      <c r="I10" s="77">
        <f>+' - FS '!I20</f>
        <v>-108127316</v>
      </c>
      <c r="J10" s="77">
        <f>+' - FS '!J20</f>
        <v>-29284066</v>
      </c>
    </row>
    <row r="11" spans="2:10" x14ac:dyDescent="0.25">
      <c r="B11" s="56"/>
      <c r="C11" s="69"/>
      <c r="D11" s="69"/>
      <c r="E11" s="69"/>
      <c r="F11" s="69"/>
      <c r="G11" s="69"/>
      <c r="H11" s="69"/>
      <c r="I11" s="70"/>
      <c r="J11" s="70"/>
    </row>
    <row r="12" spans="2:10" x14ac:dyDescent="0.25">
      <c r="B12" s="71" t="s">
        <v>203</v>
      </c>
      <c r="C12" s="69"/>
      <c r="D12" s="69"/>
      <c r="E12" s="69"/>
      <c r="F12" s="69"/>
      <c r="G12" s="69"/>
      <c r="H12" s="69"/>
      <c r="I12" s="70"/>
      <c r="J12" s="70"/>
    </row>
    <row r="13" spans="2:10" x14ac:dyDescent="0.25">
      <c r="B13" s="72" t="s">
        <v>188</v>
      </c>
      <c r="C13" s="69">
        <v>0</v>
      </c>
      <c r="D13" s="69">
        <v>2491709</v>
      </c>
      <c r="E13" s="69">
        <v>1997470</v>
      </c>
      <c r="F13" s="69">
        <v>1500000</v>
      </c>
      <c r="G13" s="69">
        <v>0</v>
      </c>
      <c r="H13" s="69">
        <v>0</v>
      </c>
      <c r="I13" s="530">
        <v>0</v>
      </c>
      <c r="J13" s="530">
        <v>0</v>
      </c>
    </row>
    <row r="14" spans="2:10" x14ac:dyDescent="0.25">
      <c r="B14" s="72" t="s">
        <v>189</v>
      </c>
      <c r="C14" s="69">
        <v>1311756</v>
      </c>
      <c r="D14" s="69">
        <v>846168</v>
      </c>
      <c r="E14" s="69">
        <v>1434604</v>
      </c>
      <c r="F14" s="69">
        <v>1840000</v>
      </c>
      <c r="G14" s="69">
        <v>0</v>
      </c>
      <c r="H14" s="69">
        <v>0</v>
      </c>
      <c r="I14" s="530">
        <v>0</v>
      </c>
      <c r="J14" s="530">
        <v>0</v>
      </c>
    </row>
    <row r="15" spans="2:10" x14ac:dyDescent="0.25">
      <c r="B15" s="72" t="s">
        <v>190</v>
      </c>
      <c r="C15" s="69">
        <v>-133429</v>
      </c>
      <c r="D15" s="69">
        <v>-70491</v>
      </c>
      <c r="E15" s="69">
        <v>0</v>
      </c>
      <c r="F15" s="69">
        <v>-108749</v>
      </c>
      <c r="G15" s="69">
        <v>0</v>
      </c>
      <c r="H15" s="69">
        <v>0</v>
      </c>
      <c r="I15" s="530">
        <v>0</v>
      </c>
      <c r="J15" s="530">
        <v>0</v>
      </c>
    </row>
    <row r="16" spans="2:10" x14ac:dyDescent="0.25">
      <c r="B16" s="72" t="s">
        <v>157</v>
      </c>
      <c r="C16" s="69">
        <f>72580832-26460224</f>
        <v>46120608</v>
      </c>
      <c r="D16" s="69">
        <v>73121146</v>
      </c>
      <c r="E16" s="69">
        <v>74308579</v>
      </c>
      <c r="F16" s="69">
        <v>70357811</v>
      </c>
      <c r="G16" s="69">
        <v>70018812</v>
      </c>
      <c r="H16" s="69">
        <v>67307175</v>
      </c>
      <c r="I16" s="530">
        <v>67821335</v>
      </c>
      <c r="J16" s="530">
        <f>+' - CFS'!J13</f>
        <v>33744816</v>
      </c>
    </row>
    <row r="17" spans="2:10" x14ac:dyDescent="0.25">
      <c r="B17" s="72" t="s">
        <v>158</v>
      </c>
      <c r="C17" s="69">
        <v>0</v>
      </c>
      <c r="D17" s="69">
        <v>0</v>
      </c>
      <c r="E17" s="69">
        <v>0</v>
      </c>
      <c r="F17" s="69">
        <v>11168</v>
      </c>
      <c r="G17" s="69">
        <v>528033</v>
      </c>
      <c r="H17" s="69">
        <v>405894</v>
      </c>
      <c r="I17" s="530">
        <v>76105</v>
      </c>
      <c r="J17" s="530">
        <f>+' - CFS'!J14</f>
        <v>37110</v>
      </c>
    </row>
    <row r="18" spans="2:10" x14ac:dyDescent="0.25">
      <c r="B18" s="72" t="s">
        <v>159</v>
      </c>
      <c r="C18" s="69">
        <v>0</v>
      </c>
      <c r="D18" s="69">
        <v>0</v>
      </c>
      <c r="E18" s="69">
        <v>814875</v>
      </c>
      <c r="F18" s="69">
        <v>893924</v>
      </c>
      <c r="G18" s="69">
        <v>2715717</v>
      </c>
      <c r="H18" s="69">
        <v>3647404</v>
      </c>
      <c r="I18" s="530">
        <v>3888711</v>
      </c>
      <c r="J18" s="530">
        <f>+' - CFS'!J15</f>
        <v>1779789</v>
      </c>
    </row>
    <row r="19" spans="2:10" x14ac:dyDescent="0.25">
      <c r="B19" s="72" t="s">
        <v>160</v>
      </c>
      <c r="C19" s="69">
        <v>909126</v>
      </c>
      <c r="D19" s="69">
        <v>484633</v>
      </c>
      <c r="E19" s="69">
        <v>442961</v>
      </c>
      <c r="F19" s="69">
        <v>276205</v>
      </c>
      <c r="G19" s="69">
        <v>149602</v>
      </c>
      <c r="H19" s="69">
        <v>168614</v>
      </c>
      <c r="I19" s="530">
        <v>213104</v>
      </c>
      <c r="J19" s="530">
        <f>+' - CFS'!J16</f>
        <v>88144</v>
      </c>
    </row>
    <row r="20" spans="2:10" x14ac:dyDescent="0.25">
      <c r="B20" s="72" t="s">
        <v>161</v>
      </c>
      <c r="C20" s="69">
        <v>5203638</v>
      </c>
      <c r="D20" s="69">
        <v>5544732</v>
      </c>
      <c r="E20" s="69">
        <v>5821266</v>
      </c>
      <c r="F20" s="69">
        <v>4868295</v>
      </c>
      <c r="G20" s="69">
        <v>3912230</v>
      </c>
      <c r="H20" s="69">
        <v>4464864</v>
      </c>
      <c r="I20" s="530">
        <v>5675711</v>
      </c>
      <c r="J20" s="530">
        <f>+' - CFS'!J17</f>
        <v>3029696</v>
      </c>
    </row>
    <row r="21" spans="2:10" x14ac:dyDescent="0.25">
      <c r="B21" s="72" t="s">
        <v>193</v>
      </c>
      <c r="C21" s="69">
        <v>-2450322</v>
      </c>
      <c r="D21" s="69">
        <v>2200821</v>
      </c>
      <c r="E21" s="69">
        <v>0</v>
      </c>
      <c r="F21" s="69">
        <v>0</v>
      </c>
      <c r="G21" s="69">
        <v>91382</v>
      </c>
      <c r="H21" s="69">
        <v>0</v>
      </c>
      <c r="I21" s="530">
        <v>3100</v>
      </c>
      <c r="J21" s="530">
        <f>+' - CFS'!J18</f>
        <v>0</v>
      </c>
    </row>
    <row r="22" spans="2:10" x14ac:dyDescent="0.25">
      <c r="B22" s="72" t="s">
        <v>162</v>
      </c>
      <c r="C22" s="69">
        <v>0</v>
      </c>
      <c r="D22" s="69">
        <v>0</v>
      </c>
      <c r="E22" s="69">
        <v>0</v>
      </c>
      <c r="F22" s="69">
        <v>0</v>
      </c>
      <c r="G22" s="69">
        <v>-5000</v>
      </c>
      <c r="H22" s="69">
        <v>0</v>
      </c>
      <c r="I22" s="530">
        <v>0</v>
      </c>
      <c r="J22" s="530">
        <f>+' - CFS'!J19</f>
        <v>0</v>
      </c>
    </row>
    <row r="23" spans="2:10" x14ac:dyDescent="0.25">
      <c r="B23" s="72" t="s">
        <v>163</v>
      </c>
      <c r="C23" s="69">
        <v>0</v>
      </c>
      <c r="D23" s="69">
        <v>0</v>
      </c>
      <c r="E23" s="69">
        <v>180150</v>
      </c>
      <c r="F23" s="69">
        <v>897475</v>
      </c>
      <c r="G23" s="69">
        <v>1366450</v>
      </c>
      <c r="H23" s="69">
        <v>1191470</v>
      </c>
      <c r="I23" s="530">
        <v>1676228</v>
      </c>
      <c r="J23" s="530">
        <f>+' - CFS'!J20</f>
        <v>1283225</v>
      </c>
    </row>
    <row r="24" spans="2:10" x14ac:dyDescent="0.25">
      <c r="B24" s="147" t="s">
        <v>164</v>
      </c>
      <c r="C24" s="149">
        <v>33061003</v>
      </c>
      <c r="D24" s="149">
        <v>31560444</v>
      </c>
      <c r="E24" s="149">
        <v>34361598</v>
      </c>
      <c r="F24" s="149">
        <v>25380713</v>
      </c>
      <c r="G24" s="149">
        <v>20346696</v>
      </c>
      <c r="H24" s="149">
        <v>22607086</v>
      </c>
      <c r="I24" s="534">
        <v>34569636</v>
      </c>
      <c r="J24" s="534">
        <f>+' - CFS'!J21</f>
        <v>16226629</v>
      </c>
    </row>
    <row r="25" spans="2:10" x14ac:dyDescent="0.25">
      <c r="B25" s="73" t="s">
        <v>199</v>
      </c>
      <c r="C25" s="48">
        <v>-2156928</v>
      </c>
      <c r="D25" s="48">
        <v>-2275264</v>
      </c>
      <c r="E25" s="48">
        <v>-2840173</v>
      </c>
      <c r="F25" s="48">
        <v>-3145704</v>
      </c>
      <c r="G25" s="48">
        <v>-2956531</v>
      </c>
      <c r="H25" s="48">
        <v>-2843014</v>
      </c>
      <c r="I25" s="74">
        <v>-2978122</v>
      </c>
      <c r="J25" s="74">
        <f>+' - CFS'!J22</f>
        <v>-837337</v>
      </c>
    </row>
    <row r="26" spans="2:10" x14ac:dyDescent="0.25">
      <c r="B26" s="75" t="s">
        <v>205</v>
      </c>
      <c r="C26" s="76">
        <f t="shared" ref="C26:I26" si="1">SUM(C13:C25)</f>
        <v>81865452</v>
      </c>
      <c r="D26" s="76">
        <f t="shared" si="1"/>
        <v>113903898</v>
      </c>
      <c r="E26" s="76">
        <f t="shared" si="1"/>
        <v>116521330</v>
      </c>
      <c r="F26" s="76">
        <f t="shared" si="1"/>
        <v>102771138</v>
      </c>
      <c r="G26" s="76">
        <f t="shared" si="1"/>
        <v>96167391</v>
      </c>
      <c r="H26" s="76">
        <f t="shared" si="1"/>
        <v>96949493</v>
      </c>
      <c r="I26" s="77">
        <f t="shared" si="1"/>
        <v>110945808</v>
      </c>
      <c r="J26" s="77">
        <f>SUM(J13:J25)</f>
        <v>55352072</v>
      </c>
    </row>
    <row r="27" spans="2:10" x14ac:dyDescent="0.25">
      <c r="B27" s="56"/>
      <c r="C27" s="69"/>
      <c r="D27" s="69"/>
      <c r="E27" s="69"/>
      <c r="F27" s="69"/>
      <c r="G27" s="69"/>
      <c r="H27" s="69"/>
      <c r="I27" s="70"/>
      <c r="J27" s="70"/>
    </row>
    <row r="28" spans="2:10" x14ac:dyDescent="0.25">
      <c r="B28" s="71" t="s">
        <v>215</v>
      </c>
      <c r="C28" s="69"/>
      <c r="D28" s="69"/>
      <c r="E28" s="69"/>
      <c r="F28" s="69"/>
      <c r="G28" s="69"/>
      <c r="H28" s="69"/>
      <c r="I28" s="70"/>
      <c r="J28" s="70"/>
    </row>
    <row r="29" spans="2:10" x14ac:dyDescent="0.25">
      <c r="B29" s="72" t="s">
        <v>172</v>
      </c>
      <c r="C29" s="69">
        <v>-42930689</v>
      </c>
      <c r="D29" s="69">
        <v>-39520642</v>
      </c>
      <c r="E29" s="69">
        <v>-36507718</v>
      </c>
      <c r="F29" s="69">
        <v>-39270781</v>
      </c>
      <c r="G29" s="69">
        <v>-26962837</v>
      </c>
      <c r="H29" s="69">
        <v>-52471654</v>
      </c>
      <c r="I29" s="531">
        <v>-62144784</v>
      </c>
      <c r="J29" s="531">
        <f>+' - CFS'!J41</f>
        <v>-19386239</v>
      </c>
    </row>
    <row r="30" spans="2:10" x14ac:dyDescent="0.25">
      <c r="B30" s="72" t="s">
        <v>173</v>
      </c>
      <c r="C30" s="69">
        <v>183249</v>
      </c>
      <c r="D30" s="69">
        <v>72529</v>
      </c>
      <c r="E30" s="69">
        <v>265250</v>
      </c>
      <c r="F30" s="69">
        <v>1142368</v>
      </c>
      <c r="G30" s="69">
        <v>285783</v>
      </c>
      <c r="H30" s="69">
        <v>62170</v>
      </c>
      <c r="I30" s="531">
        <v>967210</v>
      </c>
      <c r="J30" s="531">
        <v>0</v>
      </c>
    </row>
    <row r="31" spans="2:10" x14ac:dyDescent="0.25">
      <c r="B31" s="72" t="s">
        <v>200</v>
      </c>
      <c r="C31" s="69">
        <v>-401694</v>
      </c>
      <c r="D31" s="69">
        <v>-36120</v>
      </c>
      <c r="E31" s="69">
        <v>-711380</v>
      </c>
      <c r="F31" s="69">
        <v>-235774</v>
      </c>
      <c r="G31" s="69">
        <v>0</v>
      </c>
      <c r="H31" s="69">
        <v>-986494</v>
      </c>
      <c r="I31" s="531">
        <v>-146674</v>
      </c>
      <c r="J31" s="531">
        <v>0</v>
      </c>
    </row>
    <row r="32" spans="2:10" x14ac:dyDescent="0.25">
      <c r="B32" s="72" t="s">
        <v>174</v>
      </c>
      <c r="C32" s="69">
        <v>0</v>
      </c>
      <c r="D32" s="69">
        <v>0</v>
      </c>
      <c r="E32" s="69">
        <v>0</v>
      </c>
      <c r="F32" s="69">
        <v>0</v>
      </c>
      <c r="G32" s="69">
        <v>-22522</v>
      </c>
      <c r="H32" s="69">
        <v>-622114</v>
      </c>
      <c r="I32" s="531">
        <v>-191275</v>
      </c>
      <c r="J32" s="531">
        <v>0</v>
      </c>
    </row>
    <row r="33" spans="2:11" x14ac:dyDescent="0.25">
      <c r="B33" s="73" t="s">
        <v>191</v>
      </c>
      <c r="C33" s="48">
        <v>500000</v>
      </c>
      <c r="D33" s="48">
        <v>-231867</v>
      </c>
      <c r="E33" s="48">
        <v>0</v>
      </c>
      <c r="F33" s="48">
        <v>1800000</v>
      </c>
      <c r="G33" s="48">
        <v>0</v>
      </c>
      <c r="H33" s="48">
        <v>0</v>
      </c>
      <c r="I33" s="74">
        <v>-648000</v>
      </c>
      <c r="J33" s="74">
        <v>0</v>
      </c>
    </row>
    <row r="34" spans="2:11" x14ac:dyDescent="0.25">
      <c r="B34" s="58" t="s">
        <v>216</v>
      </c>
      <c r="C34" s="76">
        <f t="shared" ref="C34:I34" si="2">SUM(C29:C33)</f>
        <v>-42649134</v>
      </c>
      <c r="D34" s="76">
        <f t="shared" si="2"/>
        <v>-39716100</v>
      </c>
      <c r="E34" s="76">
        <f t="shared" si="2"/>
        <v>-36953848</v>
      </c>
      <c r="F34" s="76">
        <f t="shared" si="2"/>
        <v>-36564187</v>
      </c>
      <c r="G34" s="76">
        <f t="shared" si="2"/>
        <v>-26699576</v>
      </c>
      <c r="H34" s="76">
        <f t="shared" si="2"/>
        <v>-54018092</v>
      </c>
      <c r="I34" s="77">
        <f t="shared" si="2"/>
        <v>-62163523</v>
      </c>
      <c r="J34" s="77">
        <f>SUM(J29:J33)</f>
        <v>-19386239</v>
      </c>
    </row>
    <row r="35" spans="2:11" x14ac:dyDescent="0.25">
      <c r="B35" s="56"/>
      <c r="C35" s="69"/>
      <c r="D35" s="69"/>
      <c r="E35" s="69"/>
      <c r="F35" s="69"/>
      <c r="G35" s="69"/>
      <c r="H35" s="69"/>
      <c r="I35" s="70"/>
      <c r="J35" s="70"/>
    </row>
    <row r="36" spans="2:11" x14ac:dyDescent="0.25">
      <c r="B36" s="71" t="s">
        <v>217</v>
      </c>
      <c r="C36" s="69"/>
      <c r="D36" s="69"/>
      <c r="E36" s="69"/>
      <c r="F36" s="69"/>
      <c r="G36" s="69"/>
      <c r="H36" s="69"/>
      <c r="I36" s="70"/>
      <c r="J36" s="70"/>
    </row>
    <row r="37" spans="2:11" x14ac:dyDescent="0.25">
      <c r="B37" s="72" t="s">
        <v>165</v>
      </c>
      <c r="C37" s="69">
        <v>15924424</v>
      </c>
      <c r="D37" s="69">
        <v>-18122306</v>
      </c>
      <c r="E37" s="69">
        <v>0</v>
      </c>
      <c r="F37" s="69">
        <v>0</v>
      </c>
      <c r="G37" s="69">
        <v>-11098933</v>
      </c>
      <c r="H37" s="69">
        <v>-39857488</v>
      </c>
      <c r="I37" s="531">
        <v>39972234</v>
      </c>
      <c r="J37" s="531">
        <f>+' - CFS'!J25</f>
        <v>3269822</v>
      </c>
    </row>
    <row r="38" spans="2:11" x14ac:dyDescent="0.25">
      <c r="B38" s="72" t="s">
        <v>50</v>
      </c>
      <c r="C38" s="69">
        <v>40547988</v>
      </c>
      <c r="D38" s="69">
        <v>-86522147</v>
      </c>
      <c r="E38" s="69">
        <v>-24697053</v>
      </c>
      <c r="F38" s="69">
        <v>77010650</v>
      </c>
      <c r="G38" s="69">
        <v>-83095685</v>
      </c>
      <c r="H38" s="69">
        <v>-119978369</v>
      </c>
      <c r="I38" s="531">
        <v>47131965</v>
      </c>
      <c r="J38" s="531">
        <f>+' - CFS'!J26</f>
        <v>32118469</v>
      </c>
    </row>
    <row r="39" spans="2:11" x14ac:dyDescent="0.25">
      <c r="B39" s="72" t="s">
        <v>166</v>
      </c>
      <c r="C39" s="69">
        <v>0</v>
      </c>
      <c r="D39" s="69">
        <v>0</v>
      </c>
      <c r="E39" s="69">
        <v>-607832</v>
      </c>
      <c r="F39" s="69">
        <v>27691256</v>
      </c>
      <c r="G39" s="69">
        <v>2604437</v>
      </c>
      <c r="H39" s="69">
        <v>6604482</v>
      </c>
      <c r="I39" s="531">
        <v>3303729</v>
      </c>
      <c r="J39" s="531">
        <f>+' - CFS'!J27</f>
        <v>-4734133</v>
      </c>
    </row>
    <row r="40" spans="2:11" x14ac:dyDescent="0.25">
      <c r="B40" s="72" t="s">
        <v>198</v>
      </c>
      <c r="C40" s="69">
        <v>52189263</v>
      </c>
      <c r="D40" s="69">
        <v>-90673</v>
      </c>
      <c r="E40" s="69">
        <v>20010052</v>
      </c>
      <c r="F40" s="69">
        <v>-46790475</v>
      </c>
      <c r="G40" s="69">
        <v>31581969</v>
      </c>
      <c r="H40" s="69">
        <v>8289373</v>
      </c>
      <c r="I40" s="531">
        <v>-9739993</v>
      </c>
      <c r="J40" s="531">
        <f>+' - CFS'!J28</f>
        <v>25617788</v>
      </c>
    </row>
    <row r="41" spans="2:11" x14ac:dyDescent="0.25">
      <c r="B41" s="73" t="s">
        <v>167</v>
      </c>
      <c r="C41" s="48">
        <v>0</v>
      </c>
      <c r="D41" s="48">
        <v>0</v>
      </c>
      <c r="E41" s="48">
        <v>0</v>
      </c>
      <c r="F41" s="48">
        <v>0</v>
      </c>
      <c r="G41" s="48">
        <v>23586027</v>
      </c>
      <c r="H41" s="48">
        <v>-16466436</v>
      </c>
      <c r="I41" s="532">
        <v>2972756</v>
      </c>
      <c r="J41" s="532">
        <f>+' - CFS'!J29</f>
        <v>-3099018</v>
      </c>
    </row>
    <row r="42" spans="2:11" ht="16.5" thickBot="1" x14ac:dyDescent="0.3">
      <c r="B42" s="78" t="s">
        <v>218</v>
      </c>
      <c r="C42" s="79">
        <f>SUM(C37:C41)</f>
        <v>108661675</v>
      </c>
      <c r="D42" s="79">
        <f t="shared" ref="D42:I42" si="3">SUM(D37:D41)</f>
        <v>-104735126</v>
      </c>
      <c r="E42" s="79">
        <f t="shared" si="3"/>
        <v>-5294833</v>
      </c>
      <c r="F42" s="79">
        <f t="shared" si="3"/>
        <v>57911431</v>
      </c>
      <c r="G42" s="79">
        <f t="shared" si="3"/>
        <v>-36422185</v>
      </c>
      <c r="H42" s="79">
        <f t="shared" si="3"/>
        <v>-161408438</v>
      </c>
      <c r="I42" s="80">
        <f t="shared" si="3"/>
        <v>83640691</v>
      </c>
      <c r="J42" s="80">
        <f>SUM(J37:J41)</f>
        <v>53172928</v>
      </c>
    </row>
    <row r="43" spans="2:11" ht="16.5" thickBot="1" x14ac:dyDescent="0.3">
      <c r="B43" s="45"/>
      <c r="C43" s="90"/>
      <c r="D43" s="90"/>
      <c r="E43" s="90"/>
      <c r="F43" s="90"/>
      <c r="G43" s="90"/>
      <c r="H43" s="90"/>
      <c r="I43" s="91"/>
      <c r="J43" s="91"/>
    </row>
    <row r="44" spans="2:11" ht="19.5" thickBot="1" x14ac:dyDescent="0.35">
      <c r="B44" s="46" t="s">
        <v>219</v>
      </c>
      <c r="C44" s="528">
        <f>(C10+C26+C34-C42)</f>
        <v>-103858611</v>
      </c>
      <c r="D44" s="528">
        <f>(D10+D26+D34+D42)</f>
        <v>46968435</v>
      </c>
      <c r="E44" s="528">
        <f>(E10+E26+E34+E42)</f>
        <v>76964558</v>
      </c>
      <c r="F44" s="528">
        <f>(F10+F26+F34-F42)</f>
        <v>-27330221</v>
      </c>
      <c r="G44" s="528">
        <f>(G10+G26+G34+G42)</f>
        <v>138246179</v>
      </c>
      <c r="H44" s="528">
        <f>(H10+H26+H34+H42)</f>
        <v>114967280</v>
      </c>
      <c r="I44" s="529">
        <f>(I10+I26+I34-I42)</f>
        <v>-142985722</v>
      </c>
      <c r="J44" s="529">
        <f>(J10+J26+J34-J42)</f>
        <v>-46491161</v>
      </c>
      <c r="K44" s="52"/>
    </row>
    <row r="45" spans="2:11" x14ac:dyDescent="0.25">
      <c r="B45" s="366" t="s">
        <v>207</v>
      </c>
      <c r="C45" s="367"/>
      <c r="D45" s="367"/>
      <c r="E45" s="367"/>
      <c r="F45" s="367"/>
      <c r="G45" s="367"/>
      <c r="H45" s="367"/>
      <c r="I45" s="368"/>
      <c r="J45" s="368"/>
    </row>
    <row r="46" spans="2:11" x14ac:dyDescent="0.25">
      <c r="B46" s="58" t="s">
        <v>210</v>
      </c>
      <c r="C46" s="52">
        <f>' - CFS'!C56-' - CFS'!C51</f>
        <v>-55357010</v>
      </c>
      <c r="D46" s="52">
        <f>' - CFS'!D56-' - CFS'!D51</f>
        <v>-45269980</v>
      </c>
      <c r="E46" s="52">
        <f>' - CFS'!E56-' - CFS'!E51</f>
        <v>-40355530</v>
      </c>
      <c r="F46" s="52">
        <f>' - CFS'!F56-' - CFS'!F51</f>
        <v>-58687494</v>
      </c>
      <c r="G46" s="52">
        <f>' - CFS'!G56-' - CFS'!G51</f>
        <v>-119299973</v>
      </c>
      <c r="H46" s="52">
        <f>' - CFS'!H56-' - CFS'!H51</f>
        <v>-52383551</v>
      </c>
      <c r="I46" s="369">
        <f>' - CFS'!I56-' - CFS'!I51</f>
        <v>21164441</v>
      </c>
      <c r="J46" s="369">
        <f>' - CFS'!J56-' - CFS'!J51</f>
        <v>-49759016</v>
      </c>
    </row>
    <row r="47" spans="2:11" ht="16.5" thickBot="1" x14ac:dyDescent="0.3">
      <c r="B47" s="59"/>
      <c r="C47" s="60"/>
      <c r="D47" s="60"/>
      <c r="E47" s="60"/>
      <c r="F47" s="60"/>
      <c r="G47" s="60"/>
      <c r="H47" s="60"/>
      <c r="I47" s="61"/>
      <c r="J47" s="61"/>
    </row>
    <row r="48" spans="2:11" ht="19.5" thickBot="1" x14ac:dyDescent="0.35">
      <c r="B48" s="45" t="s">
        <v>209</v>
      </c>
      <c r="C48" s="53">
        <f t="shared" ref="C48:I48" si="4">C44+C46</f>
        <v>-159215621</v>
      </c>
      <c r="D48" s="53">
        <f t="shared" si="4"/>
        <v>1698455</v>
      </c>
      <c r="E48" s="53">
        <f t="shared" si="4"/>
        <v>36609028</v>
      </c>
      <c r="F48" s="53">
        <f t="shared" si="4"/>
        <v>-86017715</v>
      </c>
      <c r="G48" s="53">
        <f t="shared" si="4"/>
        <v>18946206</v>
      </c>
      <c r="H48" s="53">
        <f t="shared" si="4"/>
        <v>62583729</v>
      </c>
      <c r="I48" s="54">
        <f t="shared" si="4"/>
        <v>-121821281</v>
      </c>
      <c r="J48" s="54">
        <f>J44+J46</f>
        <v>-96250177</v>
      </c>
    </row>
    <row r="49" spans="2:10" ht="16.5" thickBot="1" x14ac:dyDescent="0.3">
      <c r="B49" s="56"/>
      <c r="I49" s="57"/>
      <c r="J49" s="57"/>
    </row>
    <row r="50" spans="2:10" ht="19.5" thickBot="1" x14ac:dyDescent="0.35">
      <c r="B50" s="86" t="s">
        <v>208</v>
      </c>
      <c r="C50" s="87">
        <f>C48/1000000</f>
        <v>-159.215621</v>
      </c>
      <c r="D50" s="87">
        <f t="shared" ref="D50:I50" si="5">D48/1000000</f>
        <v>1.698455</v>
      </c>
      <c r="E50" s="87">
        <f t="shared" si="5"/>
        <v>36.609028000000002</v>
      </c>
      <c r="F50" s="87">
        <f t="shared" si="5"/>
        <v>-86.017714999999995</v>
      </c>
      <c r="G50" s="87">
        <f t="shared" si="5"/>
        <v>18.946206</v>
      </c>
      <c r="H50" s="87">
        <f t="shared" si="5"/>
        <v>62.583728999999998</v>
      </c>
      <c r="I50" s="88">
        <f t="shared" si="5"/>
        <v>-121.821281</v>
      </c>
      <c r="J50" s="88">
        <f>J48/1000000</f>
        <v>-96.250176999999994</v>
      </c>
    </row>
    <row r="51" spans="2:10" ht="16.5" thickBot="1" x14ac:dyDescent="0.3">
      <c r="B51" s="59"/>
      <c r="C51" s="60"/>
      <c r="D51" s="60"/>
      <c r="E51" s="60"/>
      <c r="F51" s="60"/>
      <c r="G51" s="60"/>
      <c r="H51" s="60"/>
      <c r="I51" s="61"/>
      <c r="J51" s="61"/>
    </row>
    <row r="52" spans="2:10" x14ac:dyDescent="0.25">
      <c r="F52" s="52"/>
    </row>
  </sheetData>
  <hyperlinks>
    <hyperlink ref="B1" location="Index!A1" display="Home Index (click here)" xr:uid="{BAC3A224-443D-4CEC-B544-26C950D7F7E4}"/>
  </hyperlinks>
  <pageMargins left="0.7" right="0.7" top="0.75" bottom="0.75" header="0.3" footer="0.3"/>
  <legacy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09C35F-1377-4264-B9B0-72059ECBF3B0}">
  <dimension ref="A1:Q125"/>
  <sheetViews>
    <sheetView workbookViewId="0">
      <selection activeCell="B44" sqref="B44"/>
    </sheetView>
  </sheetViews>
  <sheetFormatPr defaultRowHeight="15.75" x14ac:dyDescent="0.25"/>
  <cols>
    <col min="1" max="1" width="4.5703125" customWidth="1"/>
    <col min="2" max="2" width="79.5703125" bestFit="1" customWidth="1"/>
    <col min="3" max="3" width="10.42578125" customWidth="1"/>
    <col min="4" max="4" width="12.42578125" customWidth="1"/>
    <col min="6" max="6" width="18.42578125" customWidth="1"/>
    <col min="7" max="7" width="12.140625" customWidth="1"/>
    <col min="8" max="8" width="14.42578125" customWidth="1"/>
    <col min="11" max="11" width="26.140625" bestFit="1" customWidth="1"/>
    <col min="12" max="12" width="11.7109375" customWidth="1"/>
    <col min="13" max="13" width="11" customWidth="1"/>
    <col min="14" max="14" width="13.42578125" customWidth="1"/>
    <col min="15" max="15" width="14.7109375" customWidth="1"/>
    <col min="16" max="16" width="15" bestFit="1" customWidth="1"/>
  </cols>
  <sheetData>
    <row r="1" spans="1:11" ht="21" thickBot="1" x14ac:dyDescent="0.35">
      <c r="B1" s="132" t="s">
        <v>248</v>
      </c>
    </row>
    <row r="2" spans="1:11" ht="16.5" thickBot="1" x14ac:dyDescent="0.3"/>
    <row r="3" spans="1:11" ht="16.5" customHeight="1" thickBot="1" x14ac:dyDescent="0.3">
      <c r="A3" s="267" t="s">
        <v>290</v>
      </c>
      <c r="B3" s="253" t="s">
        <v>942</v>
      </c>
      <c r="C3" s="246">
        <f>+C13</f>
        <v>0.76369711039437549</v>
      </c>
      <c r="E3" s="249" t="s">
        <v>304</v>
      </c>
      <c r="K3" s="150"/>
    </row>
    <row r="4" spans="1:11" x14ac:dyDescent="0.25">
      <c r="A4" s="254"/>
      <c r="C4" s="255"/>
      <c r="E4" s="30" t="s">
        <v>266</v>
      </c>
    </row>
    <row r="5" spans="1:11" x14ac:dyDescent="0.25">
      <c r="A5" s="261" t="s">
        <v>73</v>
      </c>
      <c r="B5" s="30" t="s">
        <v>318</v>
      </c>
      <c r="C5" s="255">
        <v>0.41</v>
      </c>
      <c r="E5" t="s">
        <v>267</v>
      </c>
      <c r="K5" s="154"/>
    </row>
    <row r="6" spans="1:11" x14ac:dyDescent="0.25">
      <c r="A6" s="261"/>
      <c r="B6" s="256" t="s">
        <v>291</v>
      </c>
      <c r="C6" s="255"/>
      <c r="E6" t="s">
        <v>268</v>
      </c>
      <c r="K6" s="155"/>
    </row>
    <row r="7" spans="1:11" x14ac:dyDescent="0.25">
      <c r="A7" s="261"/>
      <c r="B7" s="263" t="s">
        <v>292</v>
      </c>
      <c r="C7" s="255"/>
      <c r="E7" t="s">
        <v>269</v>
      </c>
      <c r="K7" s="154"/>
    </row>
    <row r="8" spans="1:11" x14ac:dyDescent="0.25">
      <c r="A8" s="261"/>
      <c r="C8" s="255"/>
      <c r="E8" t="s">
        <v>270</v>
      </c>
    </row>
    <row r="9" spans="1:11" x14ac:dyDescent="0.25">
      <c r="A9" s="261" t="s">
        <v>74</v>
      </c>
      <c r="B9" s="30" t="s">
        <v>319</v>
      </c>
      <c r="C9" s="255"/>
      <c r="E9" t="s">
        <v>323</v>
      </c>
      <c r="K9" s="151"/>
    </row>
    <row r="10" spans="1:11" x14ac:dyDescent="0.25">
      <c r="A10" s="261"/>
      <c r="C10" s="255"/>
      <c r="E10" t="s">
        <v>324</v>
      </c>
      <c r="K10" s="151"/>
    </row>
    <row r="11" spans="1:11" x14ac:dyDescent="0.25">
      <c r="A11" s="261"/>
      <c r="B11" t="s">
        <v>945</v>
      </c>
      <c r="C11" s="257">
        <f>+C5/1+(0.23)*(1-0.025)</f>
        <v>0.63424999999999998</v>
      </c>
      <c r="E11" t="s">
        <v>325</v>
      </c>
      <c r="K11" s="151"/>
    </row>
    <row r="12" spans="1:11" x14ac:dyDescent="0.25">
      <c r="A12" s="261"/>
      <c r="C12" s="255"/>
      <c r="E12" t="s">
        <v>326</v>
      </c>
      <c r="K12" s="152"/>
    </row>
    <row r="13" spans="1:11" x14ac:dyDescent="0.25">
      <c r="A13" s="261"/>
      <c r="B13" t="s">
        <v>944</v>
      </c>
      <c r="C13" s="257">
        <f>C11*((1++' Ratios '!J18)*(1-0.025))</f>
        <v>0.76369711039437549</v>
      </c>
      <c r="E13" t="s">
        <v>327</v>
      </c>
    </row>
    <row r="14" spans="1:11" ht="16.5" thickBot="1" x14ac:dyDescent="0.3">
      <c r="A14" s="258"/>
      <c r="B14" s="259"/>
      <c r="C14" s="260"/>
      <c r="E14" s="239" t="s">
        <v>328</v>
      </c>
    </row>
    <row r="15" spans="1:11" ht="16.5" thickBot="1" x14ac:dyDescent="0.3">
      <c r="E15" s="238" t="s">
        <v>943</v>
      </c>
    </row>
    <row r="16" spans="1:11" ht="16.5" thickBot="1" x14ac:dyDescent="0.3">
      <c r="A16" s="252" t="s">
        <v>293</v>
      </c>
      <c r="B16" s="253" t="s">
        <v>317</v>
      </c>
      <c r="C16" s="266">
        <f>C22+(C23*(C24-C22))</f>
        <v>5.7462650412402949</v>
      </c>
    </row>
    <row r="17" spans="1:12" x14ac:dyDescent="0.25">
      <c r="A17" s="261"/>
      <c r="B17" s="30" t="s">
        <v>303</v>
      </c>
      <c r="C17" s="262"/>
    </row>
    <row r="18" spans="1:12" x14ac:dyDescent="0.25">
      <c r="A18" s="254"/>
      <c r="B18" t="s">
        <v>294</v>
      </c>
      <c r="C18" s="255"/>
      <c r="L18" s="30"/>
    </row>
    <row r="19" spans="1:12" x14ac:dyDescent="0.25">
      <c r="A19" s="254"/>
      <c r="C19" s="255"/>
    </row>
    <row r="20" spans="1:12" x14ac:dyDescent="0.25">
      <c r="A20" s="254"/>
      <c r="B20" s="30" t="s">
        <v>274</v>
      </c>
      <c r="C20" s="255"/>
      <c r="K20" s="152"/>
    </row>
    <row r="21" spans="1:12" x14ac:dyDescent="0.25">
      <c r="A21" s="254"/>
      <c r="B21" t="s">
        <v>288</v>
      </c>
      <c r="C21" s="255"/>
      <c r="K21" s="152"/>
    </row>
    <row r="22" spans="1:12" x14ac:dyDescent="0.25">
      <c r="A22" s="254"/>
      <c r="B22" t="s">
        <v>295</v>
      </c>
      <c r="C22" s="255">
        <v>4.7</v>
      </c>
      <c r="K22" s="152"/>
    </row>
    <row r="23" spans="1:12" x14ac:dyDescent="0.25">
      <c r="A23" s="254"/>
      <c r="B23" t="s">
        <v>275</v>
      </c>
      <c r="C23" s="257">
        <f>+C3</f>
        <v>0.76369711039437549</v>
      </c>
      <c r="K23" s="152"/>
    </row>
    <row r="24" spans="1:12" x14ac:dyDescent="0.25">
      <c r="A24" s="254"/>
      <c r="B24" t="s">
        <v>296</v>
      </c>
      <c r="C24" s="255">
        <v>6.07</v>
      </c>
      <c r="K24" s="152"/>
    </row>
    <row r="25" spans="1:12" x14ac:dyDescent="0.25">
      <c r="A25" s="254"/>
      <c r="C25" s="255"/>
      <c r="K25" s="152"/>
    </row>
    <row r="26" spans="1:12" x14ac:dyDescent="0.25">
      <c r="A26" s="254"/>
      <c r="B26" s="256" t="s">
        <v>291</v>
      </c>
      <c r="C26" s="255"/>
      <c r="K26" s="152"/>
    </row>
    <row r="27" spans="1:12" x14ac:dyDescent="0.25">
      <c r="A27" s="254"/>
      <c r="B27" s="263" t="s">
        <v>298</v>
      </c>
      <c r="C27" s="255"/>
      <c r="K27" s="152"/>
    </row>
    <row r="28" spans="1:12" x14ac:dyDescent="0.25">
      <c r="A28" s="254"/>
      <c r="B28" s="263" t="s">
        <v>297</v>
      </c>
      <c r="C28" s="255"/>
      <c r="K28" s="152"/>
    </row>
    <row r="29" spans="1:12" ht="16.5" thickBot="1" x14ac:dyDescent="0.3">
      <c r="A29" s="258"/>
      <c r="B29" s="259"/>
      <c r="C29" s="260"/>
      <c r="K29" s="152"/>
    </row>
    <row r="30" spans="1:12" ht="16.5" thickBot="1" x14ac:dyDescent="0.3">
      <c r="K30" s="152"/>
    </row>
    <row r="31" spans="1:12" ht="16.5" thickBot="1" x14ac:dyDescent="0.3">
      <c r="A31" s="252" t="s">
        <v>299</v>
      </c>
      <c r="B31" s="253" t="s">
        <v>302</v>
      </c>
      <c r="C31" s="268">
        <f>(H41/(H32+H33))*((C33+C34)/2)</f>
        <v>7.8715790910805659</v>
      </c>
      <c r="E31" s="250" t="s">
        <v>304</v>
      </c>
      <c r="H31" s="30" t="s">
        <v>688</v>
      </c>
      <c r="K31" s="152"/>
    </row>
    <row r="32" spans="1:12" ht="16.5" thickBot="1" x14ac:dyDescent="0.3">
      <c r="A32" s="254"/>
      <c r="C32" s="255"/>
      <c r="E32" s="45" t="s">
        <v>289</v>
      </c>
      <c r="F32" s="251"/>
      <c r="G32" s="251"/>
      <c r="H32" s="242">
        <f>+' - FS '!J47</f>
        <v>450000000</v>
      </c>
      <c r="K32" s="152"/>
    </row>
    <row r="33" spans="1:11" ht="16.5" thickBot="1" x14ac:dyDescent="0.3">
      <c r="A33" s="254"/>
      <c r="B33" s="238" t="s">
        <v>305</v>
      </c>
      <c r="C33" s="281">
        <v>8.5</v>
      </c>
      <c r="E33" s="45" t="s">
        <v>329</v>
      </c>
      <c r="F33" s="251"/>
      <c r="G33" s="251"/>
      <c r="H33" s="282">
        <f>+' - FS '!J50</f>
        <v>26328642</v>
      </c>
      <c r="I33" t="s">
        <v>330</v>
      </c>
      <c r="K33" s="152"/>
    </row>
    <row r="34" spans="1:11" x14ac:dyDescent="0.25">
      <c r="A34" s="254"/>
      <c r="B34" s="238" t="s">
        <v>306</v>
      </c>
      <c r="C34" s="281">
        <v>5.4</v>
      </c>
      <c r="E34" s="42" t="s">
        <v>108</v>
      </c>
      <c r="H34" s="240">
        <f>+' - FS '!J53</f>
        <v>55952059</v>
      </c>
      <c r="I34" t="s">
        <v>331</v>
      </c>
      <c r="K34" s="152"/>
    </row>
    <row r="35" spans="1:11" x14ac:dyDescent="0.25">
      <c r="A35" s="254"/>
      <c r="B35" t="s">
        <v>307</v>
      </c>
      <c r="C35" s="255"/>
      <c r="E35" s="42" t="s">
        <v>109</v>
      </c>
      <c r="H35" s="240">
        <f>+' - FS '!J55</f>
        <v>11479954</v>
      </c>
      <c r="I35" t="s">
        <v>332</v>
      </c>
      <c r="K35" s="152"/>
    </row>
    <row r="36" spans="1:11" x14ac:dyDescent="0.25">
      <c r="A36" s="254"/>
      <c r="C36" s="255"/>
      <c r="E36" s="42" t="s">
        <v>59</v>
      </c>
      <c r="H36" s="240">
        <f>+' - FS '!J58</f>
        <v>145228527</v>
      </c>
      <c r="K36" s="152"/>
    </row>
    <row r="37" spans="1:11" x14ac:dyDescent="0.25">
      <c r="A37" s="254"/>
      <c r="B37" s="30" t="s">
        <v>276</v>
      </c>
      <c r="C37" s="255"/>
      <c r="E37" s="42" t="s">
        <v>60</v>
      </c>
      <c r="H37" s="240">
        <f>+' - FS '!J59</f>
        <v>30889136</v>
      </c>
      <c r="K37" s="152"/>
    </row>
    <row r="38" spans="1:11" x14ac:dyDescent="0.25">
      <c r="A38" s="254"/>
      <c r="B38" s="264" t="s">
        <v>309</v>
      </c>
      <c r="C38" s="255"/>
      <c r="E38" s="42" t="s">
        <v>110</v>
      </c>
      <c r="H38" s="240">
        <f>+' - FS '!J60</f>
        <v>250163701</v>
      </c>
      <c r="K38" s="152"/>
    </row>
    <row r="39" spans="1:11" x14ac:dyDescent="0.25">
      <c r="A39" s="254"/>
      <c r="B39" t="s">
        <v>308</v>
      </c>
      <c r="C39" s="255"/>
      <c r="E39" s="42" t="s">
        <v>111</v>
      </c>
      <c r="H39" s="240">
        <f>+' - FS '!J61</f>
        <v>40232391</v>
      </c>
      <c r="K39" s="152"/>
    </row>
    <row r="40" spans="1:11" ht="16.5" thickBot="1" x14ac:dyDescent="0.3">
      <c r="A40" s="254"/>
      <c r="C40" s="255"/>
      <c r="E40" s="42" t="s">
        <v>61</v>
      </c>
      <c r="H40" s="240">
        <f>+' - FS '!J62</f>
        <v>5544675</v>
      </c>
      <c r="K40" s="152"/>
    </row>
    <row r="41" spans="1:11" ht="16.5" thickBot="1" x14ac:dyDescent="0.3">
      <c r="A41" s="254"/>
      <c r="B41" s="238" t="s">
        <v>320</v>
      </c>
      <c r="C41" s="255"/>
      <c r="E41" s="45" t="s">
        <v>689</v>
      </c>
      <c r="F41" s="251"/>
      <c r="G41" s="251"/>
      <c r="H41" s="241">
        <f>SUM(H34:H40)</f>
        <v>539490443</v>
      </c>
      <c r="K41" s="152"/>
    </row>
    <row r="42" spans="1:11" ht="16.5" thickBot="1" x14ac:dyDescent="0.3">
      <c r="A42" s="258"/>
      <c r="B42" s="259"/>
      <c r="C42" s="260"/>
      <c r="K42" s="152"/>
    </row>
    <row r="43" spans="1:11" ht="16.5" thickBot="1" x14ac:dyDescent="0.3">
      <c r="K43" s="152"/>
    </row>
    <row r="44" spans="1:11" ht="16.5" thickBot="1" x14ac:dyDescent="0.3">
      <c r="A44" s="269" t="s">
        <v>316</v>
      </c>
      <c r="B44" s="270" t="s">
        <v>946</v>
      </c>
      <c r="C44" s="243">
        <f>C31+C16</f>
        <v>13.617844132320862</v>
      </c>
      <c r="E44" s="249" t="s">
        <v>304</v>
      </c>
      <c r="K44" s="152"/>
    </row>
    <row r="45" spans="1:11" x14ac:dyDescent="0.25">
      <c r="A45" s="254"/>
      <c r="B45" t="s">
        <v>300</v>
      </c>
      <c r="C45" s="255"/>
      <c r="E45" s="238" t="s">
        <v>283</v>
      </c>
      <c r="K45" s="152"/>
    </row>
    <row r="46" spans="1:11" x14ac:dyDescent="0.25">
      <c r="A46" s="254"/>
      <c r="C46" s="255"/>
      <c r="E46" s="30" t="s">
        <v>287</v>
      </c>
    </row>
    <row r="47" spans="1:11" x14ac:dyDescent="0.25">
      <c r="A47" s="254"/>
      <c r="B47" t="s">
        <v>277</v>
      </c>
      <c r="C47" s="255"/>
      <c r="E47" s="30" t="s">
        <v>284</v>
      </c>
    </row>
    <row r="48" spans="1:11" x14ac:dyDescent="0.25">
      <c r="A48" s="254"/>
      <c r="C48" s="255"/>
      <c r="E48" s="30" t="s">
        <v>311</v>
      </c>
      <c r="K48" s="151"/>
    </row>
    <row r="49" spans="1:11" x14ac:dyDescent="0.25">
      <c r="A49" s="254"/>
      <c r="B49" s="256" t="s">
        <v>278</v>
      </c>
      <c r="C49" s="255"/>
      <c r="E49" t="s">
        <v>312</v>
      </c>
      <c r="K49" s="151"/>
    </row>
    <row r="50" spans="1:11" x14ac:dyDescent="0.25">
      <c r="A50" s="254"/>
      <c r="B50" t="s">
        <v>282</v>
      </c>
      <c r="C50" s="255"/>
      <c r="E50" t="s">
        <v>314</v>
      </c>
    </row>
    <row r="51" spans="1:11" x14ac:dyDescent="0.25">
      <c r="A51" s="254"/>
      <c r="B51" t="s">
        <v>568</v>
      </c>
      <c r="C51" s="255"/>
      <c r="E51" t="s">
        <v>313</v>
      </c>
      <c r="K51" s="154"/>
    </row>
    <row r="52" spans="1:11" x14ac:dyDescent="0.25">
      <c r="A52" s="254"/>
      <c r="B52" t="s">
        <v>279</v>
      </c>
      <c r="C52" s="255"/>
      <c r="E52" t="s">
        <v>315</v>
      </c>
      <c r="K52" s="155"/>
    </row>
    <row r="53" spans="1:11" x14ac:dyDescent="0.25">
      <c r="A53" s="254"/>
      <c r="C53" s="255"/>
      <c r="E53" t="s">
        <v>285</v>
      </c>
      <c r="K53" s="154"/>
    </row>
    <row r="54" spans="1:11" x14ac:dyDescent="0.25">
      <c r="A54" s="254"/>
      <c r="B54" s="238" t="s">
        <v>301</v>
      </c>
      <c r="C54" s="255"/>
      <c r="E54" t="s">
        <v>322</v>
      </c>
      <c r="K54" s="154"/>
    </row>
    <row r="55" spans="1:11" x14ac:dyDescent="0.25">
      <c r="A55" s="254"/>
      <c r="B55" t="s">
        <v>280</v>
      </c>
      <c r="C55" s="255"/>
      <c r="E55" s="238" t="s">
        <v>396</v>
      </c>
      <c r="K55" s="155"/>
    </row>
    <row r="56" spans="1:11" x14ac:dyDescent="0.25">
      <c r="A56" s="254"/>
      <c r="B56" t="s">
        <v>310</v>
      </c>
      <c r="C56" s="255"/>
      <c r="E56" s="238" t="s">
        <v>397</v>
      </c>
    </row>
    <row r="57" spans="1:11" ht="16.5" thickBot="1" x14ac:dyDescent="0.3">
      <c r="A57" s="258"/>
      <c r="B57" s="265"/>
      <c r="C57" s="260"/>
      <c r="E57" s="238" t="s">
        <v>398</v>
      </c>
      <c r="K57" s="153"/>
    </row>
    <row r="58" spans="1:11" ht="16.5" thickBot="1" x14ac:dyDescent="0.3">
      <c r="B58" s="238"/>
      <c r="K58" s="153"/>
    </row>
    <row r="59" spans="1:11" ht="16.5" thickBot="1" x14ac:dyDescent="0.3">
      <c r="B59" s="271" t="s">
        <v>321</v>
      </c>
      <c r="D59" s="361" t="s">
        <v>406</v>
      </c>
      <c r="E59" s="361"/>
      <c r="F59" s="361"/>
      <c r="K59" s="151"/>
    </row>
    <row r="60" spans="1:11" x14ac:dyDescent="0.25">
      <c r="K60" s="151"/>
    </row>
    <row r="61" spans="1:11" x14ac:dyDescent="0.25">
      <c r="B61" t="s">
        <v>281</v>
      </c>
      <c r="D61" s="244"/>
      <c r="K61" s="153"/>
    </row>
    <row r="62" spans="1:11" x14ac:dyDescent="0.25">
      <c r="K62" s="153"/>
    </row>
    <row r="63" spans="1:11" x14ac:dyDescent="0.25">
      <c r="B63" t="s">
        <v>271</v>
      </c>
      <c r="K63" s="151"/>
    </row>
    <row r="65" spans="2:16" x14ac:dyDescent="0.25">
      <c r="B65" t="s">
        <v>272</v>
      </c>
      <c r="K65" s="151"/>
    </row>
    <row r="67" spans="2:16" x14ac:dyDescent="0.25">
      <c r="B67" t="s">
        <v>273</v>
      </c>
    </row>
    <row r="68" spans="2:16" x14ac:dyDescent="0.25">
      <c r="B68" t="s">
        <v>286</v>
      </c>
    </row>
    <row r="71" spans="2:16" ht="18.75" x14ac:dyDescent="0.3">
      <c r="B71" s="283" t="s">
        <v>333</v>
      </c>
      <c r="C71" s="284"/>
      <c r="D71" s="285"/>
      <c r="E71" s="286"/>
      <c r="F71" s="286"/>
      <c r="G71" s="286"/>
      <c r="H71" s="287"/>
      <c r="K71" s="288"/>
    </row>
    <row r="72" spans="2:16" x14ac:dyDescent="0.25">
      <c r="C72" s="289"/>
      <c r="D72" s="290"/>
      <c r="K72" s="288"/>
    </row>
    <row r="73" spans="2:16" x14ac:dyDescent="0.25">
      <c r="C73" s="289"/>
      <c r="D73" s="290"/>
      <c r="K73" s="288"/>
    </row>
    <row r="74" spans="2:16" x14ac:dyDescent="0.25">
      <c r="B74" s="291" t="s">
        <v>334</v>
      </c>
      <c r="C74" s="289"/>
      <c r="D74" s="290"/>
      <c r="K74" s="292"/>
    </row>
    <row r="75" spans="2:16" x14ac:dyDescent="0.25">
      <c r="B75" s="293" t="s">
        <v>335</v>
      </c>
      <c r="C75" s="289"/>
      <c r="D75" s="290"/>
      <c r="K75" s="294" t="s">
        <v>336</v>
      </c>
    </row>
    <row r="76" spans="2:16" x14ac:dyDescent="0.25">
      <c r="B76" s="293" t="s">
        <v>337</v>
      </c>
      <c r="C76" s="294"/>
      <c r="D76" s="295"/>
      <c r="F76" s="296" t="s">
        <v>338</v>
      </c>
      <c r="G76" s="297" t="s">
        <v>339</v>
      </c>
      <c r="H76" s="298" t="s">
        <v>340</v>
      </c>
      <c r="K76" s="292" t="s">
        <v>341</v>
      </c>
      <c r="L76" s="292" t="s">
        <v>342</v>
      </c>
      <c r="M76" s="292" t="s">
        <v>343</v>
      </c>
      <c r="N76" s="289" t="s">
        <v>344</v>
      </c>
      <c r="O76" s="289" t="s">
        <v>345</v>
      </c>
      <c r="P76" s="289" t="s">
        <v>346</v>
      </c>
    </row>
    <row r="77" spans="2:16" ht="16.5" thickBot="1" x14ac:dyDescent="0.3">
      <c r="B77" t="s">
        <v>347</v>
      </c>
      <c r="C77" s="289"/>
      <c r="D77" s="290"/>
      <c r="F77" s="299">
        <v>11</v>
      </c>
      <c r="G77">
        <f>F77/100</f>
        <v>0.11</v>
      </c>
      <c r="H77" s="300">
        <f>1+G77</f>
        <v>1.1100000000000001</v>
      </c>
      <c r="K77" s="289">
        <v>11</v>
      </c>
      <c r="L77" s="289">
        <f>K77/100</f>
        <v>0.11</v>
      </c>
      <c r="M77" s="289">
        <f>1+L77</f>
        <v>1.1100000000000001</v>
      </c>
      <c r="N77" s="289">
        <f>O94</f>
        <v>161818427.9701269</v>
      </c>
      <c r="O77" s="289">
        <v>1000</v>
      </c>
      <c r="P77" s="301">
        <f>N77-O77</f>
        <v>161817427.9701269</v>
      </c>
    </row>
    <row r="78" spans="2:16" x14ac:dyDescent="0.25">
      <c r="B78" t="s">
        <v>348</v>
      </c>
      <c r="C78" s="289"/>
      <c r="D78" s="290"/>
      <c r="K78" s="288"/>
    </row>
    <row r="79" spans="2:16" x14ac:dyDescent="0.25">
      <c r="C79" s="289"/>
      <c r="D79" s="290"/>
      <c r="F79" s="302" t="s">
        <v>349</v>
      </c>
      <c r="G79" s="303" t="s">
        <v>350</v>
      </c>
      <c r="K79" s="288"/>
    </row>
    <row r="80" spans="2:16" ht="16.5" thickBot="1" x14ac:dyDescent="0.3">
      <c r="C80" s="289"/>
      <c r="D80" s="290"/>
      <c r="G80" t="s">
        <v>351</v>
      </c>
      <c r="K80" s="288"/>
    </row>
    <row r="81" spans="3:17" x14ac:dyDescent="0.25">
      <c r="C81" s="304" t="s">
        <v>352</v>
      </c>
      <c r="D81" s="305">
        <v>56358227</v>
      </c>
      <c r="K81" s="289" t="s">
        <v>353</v>
      </c>
      <c r="L81" s="289"/>
      <c r="M81" s="289"/>
      <c r="N81" s="289"/>
      <c r="O81" s="289"/>
      <c r="P81" s="289"/>
      <c r="Q81" s="289"/>
    </row>
    <row r="82" spans="3:17" x14ac:dyDescent="0.25">
      <c r="C82" s="306" t="s">
        <v>354</v>
      </c>
      <c r="D82" s="307" t="s">
        <v>355</v>
      </c>
      <c r="E82" s="308" t="s">
        <v>356</v>
      </c>
      <c r="F82" s="309" t="s">
        <v>346</v>
      </c>
      <c r="K82" s="310" t="s">
        <v>354</v>
      </c>
      <c r="L82" s="311" t="s">
        <v>357</v>
      </c>
      <c r="M82" s="311"/>
      <c r="N82" s="311"/>
      <c r="O82" s="312" t="s">
        <v>358</v>
      </c>
      <c r="P82" s="292"/>
    </row>
    <row r="83" spans="3:17" x14ac:dyDescent="0.25">
      <c r="C83" s="289">
        <v>1</v>
      </c>
      <c r="D83" s="313">
        <v>27477000</v>
      </c>
      <c r="E83" s="300">
        <f>POWER(H$77,1)</f>
        <v>1.1100000000000001</v>
      </c>
      <c r="F83" s="314">
        <f>D83/E83</f>
        <v>24754054.054054052</v>
      </c>
      <c r="K83" s="288">
        <v>1</v>
      </c>
      <c r="L83" s="315">
        <v>27477000</v>
      </c>
      <c r="M83" s="289" t="s">
        <v>359</v>
      </c>
      <c r="N83" s="316">
        <f>$M$77</f>
        <v>1.1100000000000001</v>
      </c>
      <c r="O83" s="315">
        <f t="shared" ref="O83:O92" si="0">L83/N83</f>
        <v>24754054.054054052</v>
      </c>
      <c r="P83" s="289"/>
    </row>
    <row r="84" spans="3:17" x14ac:dyDescent="0.25">
      <c r="C84" s="289">
        <v>2</v>
      </c>
      <c r="D84" s="313">
        <f>+D83</f>
        <v>27477000</v>
      </c>
      <c r="E84" s="300">
        <f>POWER(H$77,2)</f>
        <v>1.2321000000000002</v>
      </c>
      <c r="F84" s="314">
        <f t="shared" ref="F84:F92" si="1">D84/E84</f>
        <v>22300949.598246891</v>
      </c>
      <c r="K84" s="288">
        <v>2</v>
      </c>
      <c r="L84" s="315">
        <v>27477000</v>
      </c>
      <c r="M84" s="289" t="s">
        <v>360</v>
      </c>
      <c r="N84" s="316">
        <f>$M$77*N83</f>
        <v>1.2321000000000002</v>
      </c>
      <c r="O84" s="315">
        <f t="shared" si="0"/>
        <v>22300949.598246891</v>
      </c>
      <c r="P84" s="289"/>
      <c r="Q84" s="289"/>
    </row>
    <row r="85" spans="3:17" x14ac:dyDescent="0.25">
      <c r="C85" s="289">
        <v>3</v>
      </c>
      <c r="D85" s="313">
        <f t="shared" ref="D85:D92" si="2">+D84</f>
        <v>27477000</v>
      </c>
      <c r="E85" s="300">
        <f>POWER(H$77,3)</f>
        <v>1.3676310000000003</v>
      </c>
      <c r="F85" s="314">
        <f t="shared" si="1"/>
        <v>20090945.584006209</v>
      </c>
      <c r="K85" s="288">
        <v>3</v>
      </c>
      <c r="L85" s="315">
        <v>27477000</v>
      </c>
      <c r="M85" s="289" t="s">
        <v>361</v>
      </c>
      <c r="N85" s="316">
        <f t="shared" ref="N85:N92" si="3">$M$77*N84</f>
        <v>1.3676310000000003</v>
      </c>
      <c r="O85" s="315">
        <f t="shared" si="0"/>
        <v>20090945.584006209</v>
      </c>
      <c r="P85" s="289"/>
      <c r="Q85" s="289"/>
    </row>
    <row r="86" spans="3:17" x14ac:dyDescent="0.25">
      <c r="C86" s="289">
        <v>4</v>
      </c>
      <c r="D86" s="313">
        <f t="shared" si="2"/>
        <v>27477000</v>
      </c>
      <c r="E86" s="300">
        <f>POWER(H$77,4)</f>
        <v>1.5180704100000004</v>
      </c>
      <c r="F86" s="314">
        <f t="shared" si="1"/>
        <v>18099950.97658217</v>
      </c>
      <c r="K86" s="288">
        <v>4</v>
      </c>
      <c r="L86" s="315">
        <v>27477000</v>
      </c>
      <c r="M86" s="289" t="s">
        <v>362</v>
      </c>
      <c r="N86" s="316">
        <f t="shared" si="3"/>
        <v>1.5180704100000004</v>
      </c>
      <c r="O86" s="315">
        <f t="shared" si="0"/>
        <v>18099950.97658217</v>
      </c>
      <c r="P86" s="289"/>
    </row>
    <row r="87" spans="3:17" x14ac:dyDescent="0.25">
      <c r="C87" s="289">
        <v>5</v>
      </c>
      <c r="D87" s="313">
        <f t="shared" si="2"/>
        <v>27477000</v>
      </c>
      <c r="E87" s="300">
        <f>POWER(H$77,5)</f>
        <v>1.6850581551000006</v>
      </c>
      <c r="F87" s="314">
        <f t="shared" si="1"/>
        <v>16306262.141065015</v>
      </c>
      <c r="K87" s="288">
        <v>5</v>
      </c>
      <c r="L87" s="315">
        <v>27477000</v>
      </c>
      <c r="M87" s="289" t="s">
        <v>363</v>
      </c>
      <c r="N87" s="316">
        <f t="shared" si="3"/>
        <v>1.6850581551000006</v>
      </c>
      <c r="O87" s="315">
        <f t="shared" si="0"/>
        <v>16306262.141065015</v>
      </c>
      <c r="P87" s="289"/>
    </row>
    <row r="88" spans="3:17" x14ac:dyDescent="0.25">
      <c r="C88" s="289">
        <v>6</v>
      </c>
      <c r="D88" s="313">
        <f t="shared" si="2"/>
        <v>27477000</v>
      </c>
      <c r="E88" s="300">
        <f>POWER(H$77,6)</f>
        <v>1.8704145521610007</v>
      </c>
      <c r="F88" s="314">
        <f t="shared" si="1"/>
        <v>14690326.253211726</v>
      </c>
      <c r="K88" s="288">
        <v>6</v>
      </c>
      <c r="L88" s="315">
        <v>27477000</v>
      </c>
      <c r="M88" s="289" t="s">
        <v>364</v>
      </c>
      <c r="N88" s="316">
        <f t="shared" si="3"/>
        <v>1.8704145521610007</v>
      </c>
      <c r="O88" s="315">
        <f t="shared" si="0"/>
        <v>14690326.253211726</v>
      </c>
      <c r="P88" s="289"/>
      <c r="Q88" s="289"/>
    </row>
    <row r="89" spans="3:17" x14ac:dyDescent="0.25">
      <c r="C89" s="289">
        <v>7</v>
      </c>
      <c r="D89" s="313">
        <f t="shared" si="2"/>
        <v>27477000</v>
      </c>
      <c r="E89" s="300">
        <f>POWER(H$77,7)</f>
        <v>2.0761601528987108</v>
      </c>
      <c r="F89" s="314">
        <f t="shared" si="1"/>
        <v>13234528.156046599</v>
      </c>
      <c r="K89" s="288">
        <v>7</v>
      </c>
      <c r="L89" s="315">
        <v>27477000</v>
      </c>
      <c r="M89" s="289" t="s">
        <v>365</v>
      </c>
      <c r="N89" s="316">
        <f t="shared" si="3"/>
        <v>2.0761601528987108</v>
      </c>
      <c r="O89" s="315">
        <f t="shared" si="0"/>
        <v>13234528.156046599</v>
      </c>
      <c r="P89" s="289"/>
      <c r="Q89" s="289"/>
    </row>
    <row r="90" spans="3:17" x14ac:dyDescent="0.25">
      <c r="C90" s="289">
        <v>8</v>
      </c>
      <c r="D90" s="313">
        <f t="shared" si="2"/>
        <v>27477000</v>
      </c>
      <c r="E90" s="300">
        <f>POWER(H$77,8)</f>
        <v>2.3045377697175695</v>
      </c>
      <c r="F90" s="314">
        <f t="shared" si="1"/>
        <v>11922998.338780718</v>
      </c>
      <c r="K90" s="288">
        <v>8</v>
      </c>
      <c r="L90" s="315">
        <v>27477000</v>
      </c>
      <c r="M90" s="289" t="s">
        <v>366</v>
      </c>
      <c r="N90" s="316">
        <f t="shared" si="3"/>
        <v>2.3045377697175691</v>
      </c>
      <c r="O90" s="315">
        <f t="shared" si="0"/>
        <v>11922998.33878072</v>
      </c>
      <c r="P90" s="289"/>
      <c r="Q90" s="289"/>
    </row>
    <row r="91" spans="3:17" x14ac:dyDescent="0.25">
      <c r="C91" s="289">
        <v>9</v>
      </c>
      <c r="D91" s="313">
        <f t="shared" si="2"/>
        <v>27477000</v>
      </c>
      <c r="E91" s="300">
        <f>POWER(H$77,9)</f>
        <v>2.5580369243865024</v>
      </c>
      <c r="F91" s="314">
        <f t="shared" si="1"/>
        <v>10741439.944847493</v>
      </c>
      <c r="K91" s="288">
        <v>9</v>
      </c>
      <c r="L91" s="315">
        <v>27477000</v>
      </c>
      <c r="M91" s="289" t="s">
        <v>367</v>
      </c>
      <c r="N91" s="316">
        <f t="shared" si="3"/>
        <v>2.558036924386502</v>
      </c>
      <c r="O91" s="315">
        <f t="shared" si="0"/>
        <v>10741439.944847494</v>
      </c>
    </row>
    <row r="92" spans="3:17" x14ac:dyDescent="0.25">
      <c r="C92" s="289">
        <v>10</v>
      </c>
      <c r="D92" s="313">
        <f t="shared" si="2"/>
        <v>27477000</v>
      </c>
      <c r="E92" s="300">
        <f>POWER(H$77,10)</f>
        <v>2.839420986069018</v>
      </c>
      <c r="F92" s="314">
        <f t="shared" si="1"/>
        <v>9676972.9232860282</v>
      </c>
      <c r="K92" s="288">
        <v>10</v>
      </c>
      <c r="L92" s="315">
        <v>27477000</v>
      </c>
      <c r="M92" s="289" t="s">
        <v>368</v>
      </c>
      <c r="N92" s="316">
        <f t="shared" si="3"/>
        <v>2.8394209860690176</v>
      </c>
      <c r="O92" s="315">
        <f t="shared" si="0"/>
        <v>9676972.9232860282</v>
      </c>
      <c r="P92" s="289"/>
      <c r="Q92" s="289"/>
    </row>
    <row r="93" spans="3:17" x14ac:dyDescent="0.25">
      <c r="C93" s="289"/>
      <c r="D93" s="290"/>
      <c r="F93" s="314"/>
      <c r="K93" s="288"/>
      <c r="L93" s="289"/>
      <c r="M93" s="289"/>
      <c r="N93" s="316"/>
      <c r="O93" s="315"/>
      <c r="P93" s="289"/>
      <c r="Q93" s="289"/>
    </row>
    <row r="94" spans="3:17" x14ac:dyDescent="0.25">
      <c r="C94" s="289"/>
      <c r="D94" s="290"/>
      <c r="F94" s="317">
        <f>SUM(F83:F92)</f>
        <v>161818427.9701269</v>
      </c>
      <c r="K94" s="288"/>
      <c r="L94" s="289"/>
      <c r="M94" s="289"/>
      <c r="N94" s="318" t="s">
        <v>369</v>
      </c>
      <c r="O94" s="319">
        <f>SUM(O83:O92)</f>
        <v>161818427.9701269</v>
      </c>
      <c r="P94" s="289"/>
      <c r="Q94" s="289"/>
    </row>
    <row r="95" spans="3:17" x14ac:dyDescent="0.25">
      <c r="C95" s="289"/>
      <c r="D95" s="290"/>
      <c r="K95" s="288"/>
    </row>
    <row r="96" spans="3:17" x14ac:dyDescent="0.25">
      <c r="C96" s="289"/>
      <c r="D96" s="290"/>
      <c r="E96" t="s">
        <v>349</v>
      </c>
      <c r="F96" t="s">
        <v>370</v>
      </c>
      <c r="K96" s="288"/>
    </row>
    <row r="97" spans="2:12" x14ac:dyDescent="0.25">
      <c r="C97" s="289"/>
      <c r="D97" s="290"/>
      <c r="E97" s="320" t="s">
        <v>371</v>
      </c>
      <c r="F97" s="321">
        <f>F94-D81</f>
        <v>105460200.9701269</v>
      </c>
      <c r="K97" s="288"/>
    </row>
    <row r="98" spans="2:12" x14ac:dyDescent="0.25">
      <c r="C98" s="289"/>
      <c r="D98" s="290"/>
      <c r="K98" s="288"/>
    </row>
    <row r="99" spans="2:12" x14ac:dyDescent="0.25">
      <c r="C99" s="322" t="s">
        <v>372</v>
      </c>
      <c r="D99" s="290"/>
      <c r="K99" s="292"/>
    </row>
    <row r="100" spans="2:12" x14ac:dyDescent="0.25">
      <c r="C100" s="292" t="s">
        <v>373</v>
      </c>
      <c r="D100" s="290"/>
      <c r="K100" s="288"/>
    </row>
    <row r="101" spans="2:12" x14ac:dyDescent="0.25">
      <c r="C101" s="294" t="s">
        <v>374</v>
      </c>
      <c r="D101" s="290"/>
      <c r="K101" s="288"/>
    </row>
    <row r="102" spans="2:12" x14ac:dyDescent="0.25">
      <c r="C102" s="294" t="s">
        <v>375</v>
      </c>
      <c r="D102" s="290"/>
      <c r="K102" s="288"/>
    </row>
    <row r="103" spans="2:12" x14ac:dyDescent="0.25">
      <c r="C103" s="289" t="s">
        <v>376</v>
      </c>
      <c r="D103" s="290"/>
      <c r="K103" s="288"/>
    </row>
    <row r="104" spans="2:12" x14ac:dyDescent="0.25">
      <c r="C104" s="292" t="s">
        <v>377</v>
      </c>
      <c r="D104" s="290"/>
      <c r="K104" s="288"/>
    </row>
    <row r="105" spans="2:12" x14ac:dyDescent="0.25">
      <c r="C105" s="289" t="s">
        <v>378</v>
      </c>
      <c r="D105" s="290"/>
      <c r="K105" s="288"/>
    </row>
    <row r="106" spans="2:12" x14ac:dyDescent="0.25">
      <c r="C106" s="289"/>
      <c r="D106" s="290"/>
      <c r="K106" s="288"/>
    </row>
    <row r="107" spans="2:12" x14ac:dyDescent="0.25">
      <c r="C107" s="289"/>
      <c r="D107" s="290"/>
      <c r="K107" s="288"/>
    </row>
    <row r="108" spans="2:12" x14ac:dyDescent="0.25">
      <c r="B108" s="323" t="s">
        <v>293</v>
      </c>
      <c r="C108" s="324" t="s">
        <v>379</v>
      </c>
      <c r="D108" s="290"/>
      <c r="K108" s="288"/>
      <c r="L108" t="s">
        <v>569</v>
      </c>
    </row>
    <row r="109" spans="2:12" x14ac:dyDescent="0.25">
      <c r="C109" s="289" t="s">
        <v>380</v>
      </c>
      <c r="D109" s="290"/>
      <c r="K109" s="288"/>
      <c r="L109" s="300">
        <f>F94/D81</f>
        <v>2.8712476701959928</v>
      </c>
    </row>
    <row r="110" spans="2:12" x14ac:dyDescent="0.25">
      <c r="C110" s="289" t="s">
        <v>381</v>
      </c>
      <c r="D110" s="290"/>
      <c r="K110" s="288"/>
      <c r="L110" t="s">
        <v>570</v>
      </c>
    </row>
    <row r="111" spans="2:12" x14ac:dyDescent="0.25">
      <c r="C111" s="292" t="s">
        <v>382</v>
      </c>
      <c r="D111" s="290"/>
      <c r="K111" s="288"/>
    </row>
    <row r="112" spans="2:12" x14ac:dyDescent="0.25">
      <c r="C112" s="289"/>
      <c r="D112" s="290"/>
      <c r="K112" s="288"/>
    </row>
    <row r="113" spans="2:11" x14ac:dyDescent="0.25">
      <c r="B113" s="325" t="s">
        <v>299</v>
      </c>
      <c r="C113" s="324" t="s">
        <v>383</v>
      </c>
      <c r="D113" s="290"/>
      <c r="F113" s="291" t="s">
        <v>384</v>
      </c>
      <c r="K113" s="288"/>
    </row>
    <row r="114" spans="2:11" x14ac:dyDescent="0.25">
      <c r="C114" s="289" t="s">
        <v>385</v>
      </c>
      <c r="D114" s="290"/>
      <c r="K114" s="288"/>
    </row>
    <row r="115" spans="2:11" x14ac:dyDescent="0.25">
      <c r="C115" s="289" t="s">
        <v>386</v>
      </c>
      <c r="D115" s="290"/>
      <c r="K115" s="288"/>
    </row>
    <row r="116" spans="2:11" x14ac:dyDescent="0.25">
      <c r="C116" s="289"/>
      <c r="D116" s="290"/>
      <c r="K116" s="288"/>
    </row>
    <row r="117" spans="2:11" x14ac:dyDescent="0.25">
      <c r="C117" s="292" t="s">
        <v>387</v>
      </c>
      <c r="D117" s="290">
        <f>+$D$12</f>
        <v>0</v>
      </c>
      <c r="K117" s="288"/>
    </row>
    <row r="118" spans="2:11" x14ac:dyDescent="0.25">
      <c r="C118" s="289" t="s">
        <v>388</v>
      </c>
      <c r="D118" s="290">
        <f>+-($F$14)</f>
        <v>0</v>
      </c>
      <c r="E118" t="s">
        <v>389</v>
      </c>
      <c r="K118" s="288"/>
    </row>
    <row r="119" spans="2:11" x14ac:dyDescent="0.25">
      <c r="C119" s="289" t="s">
        <v>390</v>
      </c>
      <c r="D119" s="290">
        <f>+-($F$15)</f>
        <v>0</v>
      </c>
      <c r="E119" t="s">
        <v>391</v>
      </c>
      <c r="K119" s="288"/>
    </row>
    <row r="120" spans="2:11" x14ac:dyDescent="0.25">
      <c r="C120" s="289" t="s">
        <v>392</v>
      </c>
      <c r="D120" s="290">
        <f>-(D117+D118+D119)</f>
        <v>0</v>
      </c>
      <c r="E120" t="s">
        <v>393</v>
      </c>
      <c r="K120" s="288"/>
    </row>
    <row r="121" spans="2:11" x14ac:dyDescent="0.25">
      <c r="C121" s="289"/>
      <c r="D121" s="290"/>
      <c r="K121" s="288"/>
    </row>
    <row r="122" spans="2:11" x14ac:dyDescent="0.25">
      <c r="C122" s="289"/>
      <c r="D122" s="290">
        <v>26257</v>
      </c>
      <c r="E122">
        <f>F85/D122</f>
        <v>765.16531149812272</v>
      </c>
      <c r="K122" s="288"/>
    </row>
    <row r="123" spans="2:11" x14ac:dyDescent="0.25">
      <c r="C123" s="289"/>
      <c r="D123" s="290"/>
      <c r="K123" s="288"/>
    </row>
    <row r="124" spans="2:11" x14ac:dyDescent="0.25">
      <c r="B124" s="325" t="s">
        <v>316</v>
      </c>
      <c r="C124" s="292" t="s">
        <v>394</v>
      </c>
      <c r="D124" s="290"/>
      <c r="K124" s="288"/>
    </row>
    <row r="125" spans="2:11" x14ac:dyDescent="0.25">
      <c r="C125" s="289" t="s">
        <v>395</v>
      </c>
      <c r="D125" s="290"/>
      <c r="K125" s="288"/>
    </row>
  </sheetData>
  <hyperlinks>
    <hyperlink ref="B1" location="Index!A1" display="Home Index (click here)" xr:uid="{598BA9E4-E8B6-42F5-9034-CFB4FABC4FFD}"/>
    <hyperlink ref="B7" r:id="rId1" xr:uid="{56FA2E0B-FC51-45C8-9CB3-6ACA043958ED}"/>
    <hyperlink ref="B28" r:id="rId2" xr:uid="{2F08C7D1-EA19-4E23-AAEB-19433B807E0A}"/>
    <hyperlink ref="B27" r:id="rId3" xr:uid="{A6F46D85-DC9B-4041-AFA8-D86F691C40AE}"/>
  </hyperlinks>
  <pageMargins left="0.36" right="0.21" top="0.43" bottom="0.51" header="0.3" footer="0.3"/>
  <pageSetup orientation="portrait" r:id="rId4"/>
  <legacyDrawing r:id="rId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27"/>
  <sheetViews>
    <sheetView showGridLines="0" zoomScaleNormal="100" workbookViewId="0">
      <selection activeCell="E31" sqref="E31"/>
    </sheetView>
  </sheetViews>
  <sheetFormatPr defaultColWidth="9.140625" defaultRowHeight="15.75" x14ac:dyDescent="0.25"/>
  <cols>
    <col min="1" max="1" width="8.140625" style="42" bestFit="1" customWidth="1"/>
    <col min="2" max="2" width="32.7109375" style="42" bestFit="1" customWidth="1"/>
    <col min="3" max="4" width="15.42578125" style="205" bestFit="1" customWidth="1"/>
    <col min="5" max="5" width="17.42578125" style="205" bestFit="1" customWidth="1"/>
    <col min="6" max="6" width="17.28515625" style="205" bestFit="1" customWidth="1"/>
    <col min="7" max="7" width="15.42578125" style="205" bestFit="1" customWidth="1"/>
    <col min="8" max="9" width="14.5703125" style="205" bestFit="1" customWidth="1"/>
    <col min="10" max="10" width="14.5703125" style="205" customWidth="1"/>
    <col min="11" max="11" width="45.28515625" style="205" bestFit="1" customWidth="1"/>
    <col min="12" max="16384" width="9.140625" style="42"/>
  </cols>
  <sheetData>
    <row r="1" spans="1:12" ht="16.5" thickBot="1" x14ac:dyDescent="0.3">
      <c r="B1" s="156" t="s">
        <v>248</v>
      </c>
    </row>
    <row r="2" spans="1:12" ht="19.5" customHeight="1" thickBot="1" x14ac:dyDescent="0.3">
      <c r="A2" s="772" t="s">
        <v>13</v>
      </c>
      <c r="B2" s="773"/>
      <c r="C2" s="773"/>
      <c r="D2" s="773"/>
      <c r="E2" s="773"/>
      <c r="F2" s="773"/>
      <c r="G2" s="773"/>
      <c r="H2" s="774"/>
      <c r="I2" s="206"/>
      <c r="J2" s="206"/>
    </row>
    <row r="3" spans="1:12" x14ac:dyDescent="0.25">
      <c r="A3" s="207" t="s">
        <v>89</v>
      </c>
      <c r="B3" s="208"/>
      <c r="C3" s="209">
        <v>2017</v>
      </c>
      <c r="D3" s="209">
        <f>C3+1</f>
        <v>2018</v>
      </c>
      <c r="E3" s="209">
        <f>D3+1</f>
        <v>2019</v>
      </c>
      <c r="F3" s="209">
        <f>E3+1</f>
        <v>2020</v>
      </c>
      <c r="G3" s="209">
        <f>F3+1</f>
        <v>2021</v>
      </c>
      <c r="H3" s="209">
        <f>G3+1</f>
        <v>2022</v>
      </c>
      <c r="I3" s="210">
        <v>2023</v>
      </c>
      <c r="J3" s="210" t="s">
        <v>681</v>
      </c>
      <c r="K3" s="211" t="s">
        <v>88</v>
      </c>
      <c r="L3" s="212"/>
    </row>
    <row r="4" spans="1:12" x14ac:dyDescent="0.25">
      <c r="A4" s="327" t="s">
        <v>73</v>
      </c>
      <c r="B4" s="331" t="s">
        <v>14</v>
      </c>
      <c r="C4" s="332">
        <f>IFERROR(' - FS '!C10/' - FS '!C8,"No data")</f>
        <v>4.2591250795467002E-2</v>
      </c>
      <c r="D4" s="332">
        <f>IFERROR(' - FS '!D10/' - FS '!D8,"No data")</f>
        <v>0.21683690860613267</v>
      </c>
      <c r="E4" s="332">
        <f>IFERROR(' - FS '!E10/' - FS '!E8,"No data")</f>
        <v>0.1500540505286071</v>
      </c>
      <c r="F4" s="332">
        <f>IFERROR(' - FS '!F10/' - FS '!F8,"No data")</f>
        <v>9.6299781812622096E-2</v>
      </c>
      <c r="G4" s="332">
        <f>IFERROR(' - FS '!G10/' - FS '!G8,"No data")</f>
        <v>0.24474564976242913</v>
      </c>
      <c r="H4" s="332">
        <f>IFERROR(' - FS '!H10/' - FS '!H8,"No data")</f>
        <v>0.35443743971438801</v>
      </c>
      <c r="I4" s="332">
        <f>IFERROR(' - FS '!I10/' - FS '!I8,"No data")</f>
        <v>6.7011355279394724E-2</v>
      </c>
      <c r="J4" s="333">
        <f>IFERROR(' - FS '!J10/' - FS '!J8,"No data")</f>
        <v>0.10256922720810693</v>
      </c>
      <c r="K4" s="334" t="s">
        <v>96</v>
      </c>
    </row>
    <row r="5" spans="1:12" x14ac:dyDescent="0.25">
      <c r="A5" s="327" t="s">
        <v>74</v>
      </c>
      <c r="B5" s="331" t="s">
        <v>15</v>
      </c>
      <c r="C5" s="335">
        <f>IFERROR(' - FS '!C13/' - FS '!C8,"No data")</f>
        <v>-4.7358467313859849E-2</v>
      </c>
      <c r="D5" s="332">
        <f>IFERROR(' - FS '!D13/' - FS '!D8,"No data")</f>
        <v>0.14089375815898503</v>
      </c>
      <c r="E5" s="332">
        <f>IFERROR(' - FS '!E13/' - FS '!E8,"No data")</f>
        <v>5.1420557265433445E-2</v>
      </c>
      <c r="F5" s="335">
        <f>IFERROR(' - FS '!F13/' - FS '!F8,"No data")</f>
        <v>-2.3894185326529122E-2</v>
      </c>
      <c r="G5" s="332">
        <f>IFERROR(' - FS '!G13/' - FS '!G8,"No data")</f>
        <v>0.15422012272228613</v>
      </c>
      <c r="H5" s="332">
        <f>IFERROR(' - FS '!H13/' - FS '!H8,"No data")</f>
        <v>0.26506180830806658</v>
      </c>
      <c r="I5" s="332">
        <f>IFERROR(' - FS '!I13/' - FS '!I8,"No data")</f>
        <v>-0.11470350289589874</v>
      </c>
      <c r="J5" s="333">
        <f>IFERROR(' - FS '!J13/' - FS '!J8,"No data")</f>
        <v>-4.2529213370385101E-2</v>
      </c>
      <c r="K5" s="334" t="s">
        <v>63</v>
      </c>
    </row>
    <row r="6" spans="1:12" x14ac:dyDescent="0.25">
      <c r="A6" s="327" t="s">
        <v>75</v>
      </c>
      <c r="B6" s="331" t="s">
        <v>16</v>
      </c>
      <c r="C6" s="335">
        <f>IFERROR(' - FS '!C20/' - FS '!C8,"No data")</f>
        <v>-5.5657971436904756E-2</v>
      </c>
      <c r="D6" s="332">
        <f>IFERROR(' - FS '!D20/' - FS '!D8,"No data")</f>
        <v>0.10138574010123436</v>
      </c>
      <c r="E6" s="332">
        <f>IFERROR(' - FS '!E20/' - FS '!E8,"No data")</f>
        <v>4.1639401823337511E-3</v>
      </c>
      <c r="F6" s="335">
        <f>IFERROR(' - FS '!F20/' - FS '!F8,"No data")</f>
        <v>-6.324776454205408E-2</v>
      </c>
      <c r="G6" s="332">
        <f>IFERROR(' - FS '!G20/' - FS '!G8,"No data")</f>
        <v>0.13299683060472101</v>
      </c>
      <c r="H6" s="332">
        <f>IFERROR(' - FS '!H20/' - FS '!H8,"No data")</f>
        <v>0.23762839073201839</v>
      </c>
      <c r="I6" s="332">
        <f>IFERROR(' - FS '!I20/' - FS '!I8,"No data")</f>
        <v>-0.16436184886360561</v>
      </c>
      <c r="J6" s="333">
        <f>IFERROR(' - FS '!J20/' - FS '!J8,"No data")</f>
        <v>-8.8307348201807828E-2</v>
      </c>
      <c r="K6" s="334" t="s">
        <v>64</v>
      </c>
    </row>
    <row r="7" spans="1:12" s="215" customFormat="1" ht="31.5" x14ac:dyDescent="0.25">
      <c r="A7" s="336" t="s">
        <v>76</v>
      </c>
      <c r="B7" s="337" t="s">
        <v>144</v>
      </c>
      <c r="C7" s="338">
        <f>IFERROR(-' - FS '!C17/' - FS '!C18,"No data")</f>
        <v>-2.9639542393798519E-2</v>
      </c>
      <c r="D7" s="339">
        <f>IFERROR(-' - FS '!D17/' - FS '!D18,"No data")</f>
        <v>3.5287918953231459</v>
      </c>
      <c r="E7" s="339">
        <f>IFERROR(-' - FS '!E17/' - FS '!E18,"No data")</f>
        <v>1.0973443959154636</v>
      </c>
      <c r="F7" s="338">
        <f>IFERROR(-' - FS '!F17/' - FS '!F18,"No data")</f>
        <v>-0.37209159569315486</v>
      </c>
      <c r="G7" s="339">
        <f>IFERROR(-' - FS '!G17/' - FS '!G18,"No data")</f>
        <v>6.3124181931061436</v>
      </c>
      <c r="H7" s="340">
        <f>IFERROR(-' - FS '!H17/' - FS '!H18,"No data")</f>
        <v>11.678835961587094</v>
      </c>
      <c r="I7" s="340">
        <f>IFERROR(-' - FS '!I17/' - FS '!I18,"No data")</f>
        <v>-2.1175013239942704</v>
      </c>
      <c r="J7" s="341">
        <f>IFERROR(-' - FS '!J17/' - FS '!J18,"No data")</f>
        <v>-0.77871059971852441</v>
      </c>
      <c r="K7" s="342" t="s">
        <v>95</v>
      </c>
    </row>
    <row r="8" spans="1:12" x14ac:dyDescent="0.25">
      <c r="A8" s="327" t="s">
        <v>77</v>
      </c>
      <c r="B8" s="331" t="s">
        <v>19</v>
      </c>
      <c r="C8" s="343">
        <f>IFERROR((' - FS '!C38/-' - FS '!C9)*365,"No data")</f>
        <v>56.0780162405987</v>
      </c>
      <c r="D8" s="343">
        <f>IFERROR((' - FS '!D38/-' - FS '!D9)*365,"No data")</f>
        <v>54.145322319374046</v>
      </c>
      <c r="E8" s="343">
        <f>IFERROR((' - FS '!E38/-' - FS '!E9)*365,"No data")</f>
        <v>58.454479647982218</v>
      </c>
      <c r="F8" s="343">
        <f>IFERROR((' - FS '!F38/-' - FS '!F9)*365,"No data")</f>
        <v>41.923512019354924</v>
      </c>
      <c r="G8" s="343">
        <f>IFERROR((' - FS '!G38/-' - FS '!G9)*365,"No data")</f>
        <v>42.502755573424793</v>
      </c>
      <c r="H8" s="343">
        <f>IFERROR((' - FS '!H38/-' - FS '!H9)*365,"No data")</f>
        <v>62.976466093556844</v>
      </c>
      <c r="I8" s="343">
        <f>IFERROR((' - FS '!I38/-' - FS '!I9)*365,"No data")</f>
        <v>41.300882273218825</v>
      </c>
      <c r="J8" s="344">
        <f>IFERROR((' - FS '!J38/-' - FS '!J9)*365,"No data")</f>
        <v>81.169062150395831</v>
      </c>
      <c r="K8" s="334" t="s">
        <v>65</v>
      </c>
    </row>
    <row r="9" spans="1:12" x14ac:dyDescent="0.25">
      <c r="A9" s="327" t="s">
        <v>78</v>
      </c>
      <c r="B9" s="331" t="s">
        <v>20</v>
      </c>
      <c r="C9" s="343">
        <f>IFERROR((' - FS '!C39/' - FS '!C8)*365,"No data")</f>
        <v>72.220127837328448</v>
      </c>
      <c r="D9" s="343">
        <f>IFERROR((' - FS '!D39/' - FS '!D8)*365,"No data")</f>
        <v>98.213045637192977</v>
      </c>
      <c r="E9" s="343">
        <f>IFERROR((' - FS '!E39/' - FS '!E8)*365,"No data")</f>
        <v>117.27749967833944</v>
      </c>
      <c r="F9" s="343">
        <f>IFERROR((' - FS '!F39/' - FS '!F8)*365,"No data")</f>
        <v>90.80317152048174</v>
      </c>
      <c r="G9" s="343">
        <f>IFERROR((' - FS '!G39/' - FS '!G8)*365,"No data")</f>
        <v>103.00484446897659</v>
      </c>
      <c r="H9" s="343">
        <f>IFERROR((' - FS '!H39/' - FS '!H8)*365,"No data")</f>
        <v>127.5142034491339</v>
      </c>
      <c r="I9" s="343">
        <f>IFERROR((' - FS '!I39/' - FS '!I8)*365,"No data")</f>
        <v>164.26835926230055</v>
      </c>
      <c r="J9" s="344">
        <f>IFERROR((' - FS '!J39/' - FS '!J8)*365,"No data")</f>
        <v>290.525127837897</v>
      </c>
      <c r="K9" s="334" t="s">
        <v>92</v>
      </c>
    </row>
    <row r="10" spans="1:12" x14ac:dyDescent="0.25">
      <c r="A10" s="327" t="s">
        <v>79</v>
      </c>
      <c r="B10" s="331" t="s">
        <v>21</v>
      </c>
      <c r="C10" s="343">
        <f>IFERROR((' - FS '!C58/-' - FS '!C9)*365,"No data")</f>
        <v>68.989486272178127</v>
      </c>
      <c r="D10" s="343">
        <f>IFERROR((' - FS '!D58/-' - FS '!D9)*365,"No data")</f>
        <v>72.492410384235171</v>
      </c>
      <c r="E10" s="343">
        <f>IFERROR((' - FS '!E58/-' - FS '!E9)*365,"No data")</f>
        <v>88.421393500593737</v>
      </c>
      <c r="F10" s="343">
        <f>IFERROR((' - FS '!F58/-' - FS '!F9)*365,"No data")</f>
        <v>60.916315079610222</v>
      </c>
      <c r="G10" s="343">
        <f>IFERROR((' - FS '!G58/-' - FS '!G9)*365,"No data")</f>
        <v>76.77585587705741</v>
      </c>
      <c r="H10" s="343">
        <f>IFERROR((' - FS '!H58/-' - FS '!H9)*365,"No data")</f>
        <v>77.092945900009539</v>
      </c>
      <c r="I10" s="343">
        <f>IFERROR((' - FS '!I58/-' - FS '!I9)*365,"No data")</f>
        <v>71.129912608225595</v>
      </c>
      <c r="J10" s="344">
        <f>IFERROR((' - FS '!J58/-' - FS '!J9)*365,"No data")</f>
        <v>178.11861357727133</v>
      </c>
      <c r="K10" s="334" t="s">
        <v>93</v>
      </c>
    </row>
    <row r="11" spans="1:12" x14ac:dyDescent="0.25">
      <c r="A11" s="327" t="s">
        <v>80</v>
      </c>
      <c r="B11" s="331" t="s">
        <v>72</v>
      </c>
      <c r="C11" s="345">
        <f>IFERROR(' - FS '!C38+' - FS '!C39+' - FS '!C40-' - FS '!C64,"No data")</f>
        <v>-433676042</v>
      </c>
      <c r="D11" s="345">
        <f>IFERROR(' - FS '!D38+' - FS '!D39+' - FS '!D40-' - FS '!D64,"No data")</f>
        <v>-267807819</v>
      </c>
      <c r="E11" s="345">
        <f>IFERROR(' - FS '!E38+' - FS '!E39+' - FS '!E40-' - FS '!E64,"No data")</f>
        <v>-324151087</v>
      </c>
      <c r="F11" s="345">
        <f>IFERROR(' - FS '!F38+' - FS '!F39+' - FS '!F40-' - FS '!F64,"No data")</f>
        <v>-239509427</v>
      </c>
      <c r="G11" s="345">
        <f>IFERROR(' - FS '!G38+' - FS '!G39+' - FS '!G40-' - FS '!G64,"No data")</f>
        <v>-155626745</v>
      </c>
      <c r="H11" s="568">
        <f>IFERROR((' - FS '!H38+' - FS '!H39+' - FS '!H40-' - FS '!H64),"No data")</f>
        <v>18280965</v>
      </c>
      <c r="I11" s="566">
        <f>IFERROR((' - FS '!I38+' - FS '!I39+' - FS '!I40-' - FS '!I64),"No data")</f>
        <v>-75712255</v>
      </c>
      <c r="J11" s="567">
        <f>IFERROR((' - FS '!J38+' - FS '!J39+' - FS '!J40-' - FS '!J64),"No data")</f>
        <v>-97013225</v>
      </c>
      <c r="K11" s="334" t="s">
        <v>66</v>
      </c>
    </row>
    <row r="12" spans="1:12" x14ac:dyDescent="0.25">
      <c r="A12" s="327" t="s">
        <v>81</v>
      </c>
      <c r="B12" s="331" t="s">
        <v>142</v>
      </c>
      <c r="C12" s="346">
        <f t="shared" ref="C12:I12" si="0">IFERROR(C8+C9-C10,"No data")</f>
        <v>59.308657805749007</v>
      </c>
      <c r="D12" s="346">
        <f t="shared" si="0"/>
        <v>79.865957572331837</v>
      </c>
      <c r="E12" s="346">
        <f t="shared" si="0"/>
        <v>87.310585825727927</v>
      </c>
      <c r="F12" s="346">
        <f t="shared" si="0"/>
        <v>71.810368460226442</v>
      </c>
      <c r="G12" s="346">
        <f t="shared" si="0"/>
        <v>68.731744165343969</v>
      </c>
      <c r="H12" s="343">
        <f t="shared" si="0"/>
        <v>113.3977236426812</v>
      </c>
      <c r="I12" s="343">
        <f t="shared" si="0"/>
        <v>134.43932892729379</v>
      </c>
      <c r="J12" s="344">
        <f>IFERROR(J8+J9-J10,"No data")</f>
        <v>193.57557641102147</v>
      </c>
      <c r="K12" s="334" t="s">
        <v>91</v>
      </c>
    </row>
    <row r="13" spans="1:12" x14ac:dyDescent="0.25">
      <c r="A13" s="327" t="s">
        <v>82</v>
      </c>
      <c r="B13" s="331" t="s">
        <v>17</v>
      </c>
      <c r="C13" s="347">
        <f>IFERROR(' - FS '!C42/' - FS '!C64,"No data")</f>
        <v>0.41366808145320505</v>
      </c>
      <c r="D13" s="347">
        <f>IFERROR(' - FS '!D42/' - FS '!D64,"No data")</f>
        <v>0.55956330827203871</v>
      </c>
      <c r="E13" s="347">
        <f>IFERROR(' - FS '!E42/' - FS '!E64,"No data")</f>
        <v>0.52379126316429303</v>
      </c>
      <c r="F13" s="347">
        <f>IFERROR(' - FS '!F42/' - FS '!F64,"No data")</f>
        <v>0.51134978661368691</v>
      </c>
      <c r="G13" s="347">
        <f>IFERROR(' - FS '!G42/' - FS '!G64,"No data")</f>
        <v>0.70661539609735002</v>
      </c>
      <c r="H13" s="348">
        <f>IFERROR(' - FS '!H42/' - FS '!H64,"No data")</f>
        <v>1.0586103561236861</v>
      </c>
      <c r="I13" s="348">
        <f>IFERROR(' - FS '!I42/' - FS '!I64,"No data")</f>
        <v>0.86785229813912546</v>
      </c>
      <c r="J13" s="349">
        <f>IFERROR(' - FS '!J42/' - FS '!J64,"No data")</f>
        <v>0.8039561230637785</v>
      </c>
      <c r="K13" s="334" t="s">
        <v>94</v>
      </c>
    </row>
    <row r="14" spans="1:12" x14ac:dyDescent="0.25">
      <c r="A14" s="327" t="s">
        <v>83</v>
      </c>
      <c r="B14" s="331" t="s">
        <v>18</v>
      </c>
      <c r="C14" s="347">
        <f>IFERROR((' - FS '!C42-' - FS '!C38)/' - FS '!C64,"No data")</f>
        <v>0.2772922245642136</v>
      </c>
      <c r="D14" s="347">
        <f>IFERROR((' - FS '!D42-' - FS '!D38)/' - FS '!D64,"No data")</f>
        <v>0.40742835771476371</v>
      </c>
      <c r="E14" s="347">
        <f>IFERROR((' - FS '!E42-' - FS '!E38)/' - FS '!E64,"No data")</f>
        <v>0.39103629079932151</v>
      </c>
      <c r="F14" s="347">
        <f>IFERROR((' - FS '!F42-' - FS '!F38)/' - FS '!F64,"No data")</f>
        <v>0.38760457042838337</v>
      </c>
      <c r="G14" s="347">
        <f>IFERROR((' - FS '!G42-' - FS '!G38)/' - FS '!G64,"No data")</f>
        <v>0.56750150740867522</v>
      </c>
      <c r="H14" s="348">
        <f>IFERROR((' - FS '!H42-' - FS '!H38)/' - FS '!H64,"No data")</f>
        <v>0.83035347871663057</v>
      </c>
      <c r="I14" s="348">
        <f>IFERROR((' - FS '!I42-' - FS '!I38)/' - FS '!I64,"No data")</f>
        <v>0.72405312487240425</v>
      </c>
      <c r="J14" s="349">
        <f>IFERROR((' - FS '!J42-' - FS '!J38)/' - FS '!J64,"No data")</f>
        <v>0.66422107539540365</v>
      </c>
      <c r="K14" s="334" t="s">
        <v>97</v>
      </c>
    </row>
    <row r="15" spans="1:12" x14ac:dyDescent="0.25">
      <c r="A15" s="327" t="s">
        <v>84</v>
      </c>
      <c r="B15" s="331" t="s">
        <v>143</v>
      </c>
      <c r="C15" s="350">
        <f>IFERROR(' - FS '!C8/' - FS '!C44,"No data")</f>
        <v>0.53404113761509564</v>
      </c>
      <c r="D15" s="350">
        <f>IFERROR(' - FS '!D8/' - FS '!D44,"No data")</f>
        <v>0.64069215367098342</v>
      </c>
      <c r="E15" s="350">
        <f>IFERROR(' - FS '!E8/' - FS '!E44,"No data")</f>
        <v>0.54468852504685017</v>
      </c>
      <c r="F15" s="350">
        <f>IFERROR(' - FS '!F8/' - FS '!F44,"No data")</f>
        <v>0.53773695700878443</v>
      </c>
      <c r="G15" s="350">
        <f>IFERROR(' - FS '!G8/' - FS '!G44,"No data")</f>
        <v>0.7198698991745659</v>
      </c>
      <c r="H15" s="351">
        <f>IFERROR(' - FS '!H8/' - FS '!H44,"No data")</f>
        <v>0.79405914377093023</v>
      </c>
      <c r="I15" s="351">
        <f>IFERROR(' - FS '!I8/' - FS '!I44,"No data")</f>
        <v>0.57850814828610875</v>
      </c>
      <c r="J15" s="352">
        <f>IFERROR(' - FS '!J8/' - FS '!J44,"No data")</f>
        <v>0.30403941354533737</v>
      </c>
      <c r="K15" s="334" t="s">
        <v>67</v>
      </c>
    </row>
    <row r="16" spans="1:12" x14ac:dyDescent="0.25">
      <c r="A16" s="327" t="s">
        <v>85</v>
      </c>
      <c r="B16" s="331" t="s">
        <v>70</v>
      </c>
      <c r="C16" s="335">
        <f>IFERROR(' - FS '!C20/' - FS '!C51,"No data")</f>
        <v>-0.11516813788166512</v>
      </c>
      <c r="D16" s="332">
        <f>IFERROR(' - FS '!D20/' - FS '!D51,"No data")</f>
        <v>0.20636098307684883</v>
      </c>
      <c r="E16" s="332">
        <f>IFERROR(' - FS '!E20/' - FS '!E51,"No data")</f>
        <v>7.039620627563959E-3</v>
      </c>
      <c r="F16" s="335">
        <f>IFERROR(' - FS '!F20/' - FS '!F51,"No data")</f>
        <v>-0.10260632058204987</v>
      </c>
      <c r="G16" s="332">
        <f>IFERROR(' - FS '!G20/' - FS '!G51,"No data")</f>
        <v>0.23368681663747889</v>
      </c>
      <c r="H16" s="332">
        <f>IFERROR(' - FS '!H20/' - FS '!H51,"No data")</f>
        <v>0.36784588169090721</v>
      </c>
      <c r="I16" s="332">
        <f>IFERROR(' - FS '!I20/' - FS '!I51,"No data")</f>
        <v>-0.20441602508664503</v>
      </c>
      <c r="J16" s="333">
        <f>IFERROR(' - FS '!J20/' - FS '!J51,"No data")</f>
        <v>-5.8606451945817678E-2</v>
      </c>
      <c r="K16" s="334" t="s">
        <v>68</v>
      </c>
    </row>
    <row r="17" spans="1:11" x14ac:dyDescent="0.25">
      <c r="A17" s="327" t="s">
        <v>86</v>
      </c>
      <c r="B17" s="331" t="s">
        <v>71</v>
      </c>
      <c r="C17" s="335">
        <f>IFERROR(' - FS '!C20/' - FS '!C44,"No data")</f>
        <v>-2.9723646383513116E-2</v>
      </c>
      <c r="D17" s="332">
        <f>IFERROR(' - FS '!D20/' - FS '!D44,"No data")</f>
        <v>6.4957048176986429E-2</v>
      </c>
      <c r="E17" s="332">
        <f>IFERROR(' - FS '!E20/' - FS '!E44,"No data")</f>
        <v>2.2680504362986831E-3</v>
      </c>
      <c r="F17" s="335">
        <f>IFERROR(' - FS '!F20/' - FS '!F44,"No data")</f>
        <v>-3.401066044245226E-2</v>
      </c>
      <c r="G17" s="332">
        <f>IFERROR(' - FS '!G20/' - FS '!G44,"No data")</f>
        <v>9.5740415037957341E-2</v>
      </c>
      <c r="H17" s="332">
        <f>IFERROR(' - FS '!H20/' - FS '!H44,"No data")</f>
        <v>0.18869099648033055</v>
      </c>
      <c r="I17" s="332">
        <f>IFERROR(' - FS '!I20/' - FS '!I44,"No data")</f>
        <v>-9.5084668834965747E-2</v>
      </c>
      <c r="J17" s="333">
        <f>IFERROR(' - FS '!J20/' - FS '!J44,"No data")</f>
        <v>-2.6848914359021554E-2</v>
      </c>
      <c r="K17" s="334" t="s">
        <v>69</v>
      </c>
    </row>
    <row r="18" spans="1:11" x14ac:dyDescent="0.25">
      <c r="A18" s="327" t="s">
        <v>87</v>
      </c>
      <c r="B18" s="331" t="s">
        <v>141</v>
      </c>
      <c r="C18" s="353">
        <f>IFERROR(' - FS '!C56/' - FS '!C51,"No data")</f>
        <v>0.64278201933056811</v>
      </c>
      <c r="D18" s="353">
        <f>IFERROR(' - FS '!D56/' - FS '!D51,"No data")</f>
        <v>0.62255801108465569</v>
      </c>
      <c r="E18" s="353">
        <f>IFERROR(' - FS '!E56/' - FS '!E51,"No data")</f>
        <v>0.37037453177487251</v>
      </c>
      <c r="F18" s="353">
        <f>IFERROR(' - FS '!F56/' - FS '!F51,"No data")</f>
        <v>0.65610146630958777</v>
      </c>
      <c r="G18" s="353">
        <f>IFERROR(' - FS '!G56/' - FS '!G51,"No data")</f>
        <v>0.33002744701757192</v>
      </c>
      <c r="H18" s="354">
        <f>IFERROR(' - FS '!H56/' - FS '!H51,"No data")</f>
        <v>0.19407832247630807</v>
      </c>
      <c r="I18" s="354">
        <f>IFERROR(' - FS '!I56/' - FS '!I51,"No data")</f>
        <v>0.23676941197920118</v>
      </c>
      <c r="J18" s="355">
        <f>IFERROR(' - FS '!J56/' - FS '!J51,"No data")</f>
        <v>0.23496899894990139</v>
      </c>
      <c r="K18" s="334" t="s">
        <v>90</v>
      </c>
    </row>
    <row r="19" spans="1:11" x14ac:dyDescent="0.25">
      <c r="A19" s="327" t="s">
        <v>400</v>
      </c>
      <c r="B19" s="328" t="s">
        <v>401</v>
      </c>
      <c r="C19" s="329">
        <f>' - CFS'!C38/(' - FS '!C56+' - FS '!C64)</f>
        <v>0.14443984395854589</v>
      </c>
      <c r="D19" s="329">
        <f>' - CFS'!D38/(' - FS '!D56+' - FS '!D64)</f>
        <v>6.4802405722696133E-2</v>
      </c>
      <c r="E19" s="329">
        <f>' - CFS'!E38/(' - FS '!E56+' - FS '!E64)</f>
        <v>9.3406082782370684E-2</v>
      </c>
      <c r="F19" s="329">
        <f>' - CFS'!F38/(' - FS '!F56+' - FS '!F64)</f>
        <v>0.13622282705221561</v>
      </c>
      <c r="G19" s="329">
        <f>' - CFS'!G38/(' - FS '!G56+' - FS '!G64)</f>
        <v>0.22552329177304536</v>
      </c>
      <c r="H19" s="329">
        <f>' - CFS'!H38/(' - FS '!H56+' - FS '!H64)</f>
        <v>0.2527412097371653</v>
      </c>
      <c r="I19" s="329">
        <f>' - CFS'!I38/(' - FS '!I56+' - FS '!I64)</f>
        <v>7.0817246505435541E-2</v>
      </c>
      <c r="J19" s="329">
        <f>' - CFS'!J38/(' - FS '!J56+' - FS '!J64)</f>
        <v>0.10392089946126058</v>
      </c>
      <c r="K19" s="330" t="s">
        <v>402</v>
      </c>
    </row>
    <row r="20" spans="1:11" x14ac:dyDescent="0.25">
      <c r="A20" s="213"/>
      <c r="B20" s="356"/>
      <c r="C20" s="357"/>
      <c r="D20" s="357"/>
      <c r="E20" s="357"/>
      <c r="F20" s="357"/>
      <c r="G20" s="357"/>
      <c r="H20" s="357"/>
      <c r="I20" s="358"/>
      <c r="J20" s="358"/>
      <c r="K20" s="359"/>
    </row>
    <row r="21" spans="1:11" ht="16.5" thickBot="1" x14ac:dyDescent="0.3">
      <c r="B21" s="217"/>
      <c r="C21" s="218" t="s">
        <v>32</v>
      </c>
      <c r="D21" s="218" t="s">
        <v>33</v>
      </c>
      <c r="E21" s="218" t="s">
        <v>34</v>
      </c>
      <c r="F21" s="218" t="s">
        <v>35</v>
      </c>
    </row>
    <row r="22" spans="1:11" ht="16.5" thickTop="1" x14ac:dyDescent="0.25">
      <c r="B22" s="50" t="s">
        <v>28</v>
      </c>
      <c r="C22" s="219">
        <f>J16</f>
        <v>-5.8606451945817678E-2</v>
      </c>
      <c r="D22" s="219">
        <f>J17</f>
        <v>-2.6848914359021554E-2</v>
      </c>
      <c r="E22" s="220">
        <f>J18</f>
        <v>0.23496899894990139</v>
      </c>
      <c r="F22" s="216">
        <f>J15</f>
        <v>0.30403941354533737</v>
      </c>
    </row>
    <row r="23" spans="1:11" x14ac:dyDescent="0.25">
      <c r="B23" s="50" t="s">
        <v>29</v>
      </c>
      <c r="C23" s="219">
        <f>C25-(-C22)</f>
        <v>0.94139354805418229</v>
      </c>
      <c r="D23" s="214">
        <f>D25-(-D22)</f>
        <v>0.97315108564097841</v>
      </c>
      <c r="E23" s="221">
        <f>E25-E22</f>
        <v>1.7650310010500987</v>
      </c>
      <c r="F23" s="222">
        <f>F25-F22</f>
        <v>0.69596058645466263</v>
      </c>
    </row>
    <row r="24" spans="1:11" x14ac:dyDescent="0.25">
      <c r="B24" s="50" t="s">
        <v>30</v>
      </c>
      <c r="C24" s="223">
        <f>C25/0.8-C25</f>
        <v>0.25</v>
      </c>
      <c r="D24" s="223">
        <f>D25/0.8-D25</f>
        <v>0.25</v>
      </c>
      <c r="E24" s="42">
        <f>E25/0.8-E25</f>
        <v>0.5</v>
      </c>
      <c r="F24" s="223">
        <f>F25/0.8-F25</f>
        <v>0.25</v>
      </c>
    </row>
    <row r="25" spans="1:11" x14ac:dyDescent="0.25">
      <c r="B25" s="50" t="s">
        <v>31</v>
      </c>
      <c r="C25" s="223">
        <v>1</v>
      </c>
      <c r="D25" s="223">
        <v>1</v>
      </c>
      <c r="E25" s="42">
        <v>2</v>
      </c>
      <c r="F25" s="223">
        <v>1</v>
      </c>
    </row>
    <row r="26" spans="1:11" x14ac:dyDescent="0.25">
      <c r="B26" s="224" t="s">
        <v>150</v>
      </c>
      <c r="C26" s="225"/>
      <c r="D26" s="225"/>
      <c r="E26" s="225"/>
      <c r="F26" s="226"/>
    </row>
    <row r="27" spans="1:11" x14ac:dyDescent="0.25">
      <c r="B27" s="227" t="s">
        <v>151</v>
      </c>
      <c r="C27" s="228"/>
      <c r="D27" s="228"/>
      <c r="E27" s="228"/>
      <c r="F27" s="229"/>
    </row>
  </sheetData>
  <mergeCells count="1">
    <mergeCell ref="A2:H2"/>
  </mergeCells>
  <hyperlinks>
    <hyperlink ref="B1" location="Index!A1" display="Home Index (click here)" xr:uid="{2F569587-7CEA-4EA2-9237-6BC1E3DE7D42}"/>
  </hyperlinks>
  <pageMargins left="0.7" right="0.7" top="0.75" bottom="0.75" header="0.3" footer="0.3"/>
  <pageSetup orientation="landscape"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AR68"/>
  <sheetViews>
    <sheetView showGridLines="0" topLeftCell="A21" zoomScale="70" zoomScaleNormal="70" zoomScaleSheetLayoutView="50" workbookViewId="0">
      <selection activeCell="D1" sqref="D1"/>
    </sheetView>
  </sheetViews>
  <sheetFormatPr defaultColWidth="9.140625" defaultRowHeight="15.75" x14ac:dyDescent="0.25"/>
  <cols>
    <col min="1" max="1" width="1.7109375" style="42" customWidth="1"/>
    <col min="2" max="8" width="9.140625" style="42"/>
    <col min="9" max="9" width="1.7109375" style="42" customWidth="1"/>
    <col min="10" max="10" width="9.140625" style="42"/>
    <col min="11" max="11" width="9.140625" style="42" customWidth="1"/>
    <col min="12" max="12" width="14.5703125" style="42" customWidth="1"/>
    <col min="13" max="13" width="8.7109375" style="42" customWidth="1"/>
    <col min="14" max="14" width="6.5703125" style="42" customWidth="1"/>
    <col min="15" max="15" width="9.140625" style="42"/>
    <col min="16" max="16" width="1.7109375" style="42" customWidth="1"/>
    <col min="17" max="22" width="9.140625" style="42"/>
    <col min="23" max="23" width="11.42578125" style="42" customWidth="1"/>
    <col min="24" max="24" width="5.28515625" style="42" customWidth="1"/>
    <col min="25" max="25" width="6.85546875" style="42" customWidth="1"/>
    <col min="26" max="28" width="9.140625" style="42"/>
    <col min="29" max="29" width="17.85546875" style="42" customWidth="1"/>
    <col min="30" max="30" width="1.42578125" style="42" customWidth="1"/>
    <col min="31" max="31" width="2.85546875" style="42" customWidth="1"/>
    <col min="32" max="32" width="9.140625" style="42"/>
    <col min="33" max="33" width="5.28515625" style="42" customWidth="1"/>
    <col min="34" max="34" width="9.140625" style="42"/>
    <col min="35" max="35" width="9.140625" style="42" customWidth="1"/>
    <col min="36" max="36" width="14.42578125" style="42" customWidth="1"/>
    <col min="37" max="37" width="2.85546875" style="42" customWidth="1"/>
    <col min="38" max="38" width="7.140625" style="42" customWidth="1"/>
    <col min="39" max="16384" width="9.140625" style="42"/>
  </cols>
  <sheetData>
    <row r="1" spans="2:44" ht="21" thickBot="1" x14ac:dyDescent="0.35">
      <c r="B1" s="701" t="s">
        <v>248</v>
      </c>
      <c r="C1" s="699"/>
      <c r="D1" s="700"/>
    </row>
    <row r="2" spans="2:44" ht="16.5" thickBot="1" x14ac:dyDescent="0.3"/>
    <row r="3" spans="2:44" ht="60" customHeight="1" thickBot="1" x14ac:dyDescent="0.3">
      <c r="B3" s="781" t="s">
        <v>677</v>
      </c>
      <c r="C3" s="782"/>
      <c r="D3" s="782"/>
      <c r="E3" s="782"/>
      <c r="F3" s="782"/>
      <c r="G3" s="782"/>
      <c r="H3" s="782"/>
      <c r="I3" s="782"/>
      <c r="J3" s="782"/>
      <c r="K3" s="782"/>
      <c r="L3" s="782"/>
      <c r="M3" s="782"/>
      <c r="N3" s="782"/>
      <c r="O3" s="782"/>
      <c r="P3" s="782"/>
      <c r="Q3" s="782"/>
      <c r="R3" s="782"/>
      <c r="S3" s="782"/>
      <c r="T3" s="782"/>
      <c r="U3" s="782"/>
      <c r="V3" s="782"/>
      <c r="W3" s="783"/>
      <c r="Y3" s="787" t="s">
        <v>682</v>
      </c>
      <c r="Z3" s="788"/>
      <c r="AA3" s="788"/>
      <c r="AB3" s="788"/>
      <c r="AC3" s="789"/>
      <c r="AD3" s="230"/>
      <c r="AF3" s="787" t="s">
        <v>683</v>
      </c>
      <c r="AG3" s="788"/>
      <c r="AH3" s="788"/>
      <c r="AI3" s="788"/>
      <c r="AJ3" s="789"/>
      <c r="AK3" s="231"/>
      <c r="AM3" s="784" t="s">
        <v>684</v>
      </c>
      <c r="AN3" s="785"/>
      <c r="AO3" s="785"/>
      <c r="AP3" s="785"/>
      <c r="AQ3" s="785"/>
      <c r="AR3" s="786"/>
    </row>
    <row r="4" spans="2:44" x14ac:dyDescent="0.25">
      <c r="B4" s="56"/>
      <c r="W4" s="57"/>
      <c r="Y4" s="56"/>
      <c r="AC4" s="57"/>
      <c r="AF4" s="56"/>
      <c r="AJ4" s="57"/>
      <c r="AM4" s="167"/>
      <c r="AR4" s="232"/>
    </row>
    <row r="5" spans="2:44" x14ac:dyDescent="0.25">
      <c r="B5" s="56"/>
      <c r="W5" s="57"/>
      <c r="Y5" s="56"/>
      <c r="AC5" s="57"/>
      <c r="AF5" s="56"/>
      <c r="AJ5" s="57"/>
      <c r="AM5" s="167"/>
      <c r="AR5" s="232"/>
    </row>
    <row r="6" spans="2:44" x14ac:dyDescent="0.25">
      <c r="B6" s="56"/>
      <c r="W6" s="57"/>
      <c r="Y6" s="56"/>
      <c r="AC6" s="57"/>
      <c r="AF6" s="56"/>
      <c r="AJ6" s="57"/>
      <c r="AM6" s="167"/>
      <c r="AR6" s="232"/>
    </row>
    <row r="7" spans="2:44" x14ac:dyDescent="0.25">
      <c r="B7" s="56"/>
      <c r="W7" s="57"/>
      <c r="Y7" s="56"/>
      <c r="AC7" s="57"/>
      <c r="AF7" s="56"/>
      <c r="AJ7" s="57"/>
      <c r="AM7" s="167"/>
      <c r="AR7" s="232"/>
    </row>
    <row r="8" spans="2:44" x14ac:dyDescent="0.25">
      <c r="B8" s="56"/>
      <c r="W8" s="57"/>
      <c r="Y8" s="56"/>
      <c r="AC8" s="57"/>
      <c r="AF8" s="56"/>
      <c r="AJ8" s="57"/>
      <c r="AM8" s="167"/>
      <c r="AR8" s="232"/>
    </row>
    <row r="9" spans="2:44" x14ac:dyDescent="0.25">
      <c r="B9" s="56"/>
      <c r="W9" s="57"/>
      <c r="Y9" s="56"/>
      <c r="AC9" s="57"/>
      <c r="AF9" s="56"/>
      <c r="AJ9" s="57"/>
      <c r="AM9" s="167"/>
      <c r="AR9" s="232"/>
    </row>
    <row r="10" spans="2:44" x14ac:dyDescent="0.25">
      <c r="B10" s="56"/>
      <c r="W10" s="57"/>
      <c r="Y10" s="56"/>
      <c r="AC10" s="57"/>
      <c r="AF10" s="56"/>
      <c r="AJ10" s="57"/>
      <c r="AM10" s="167"/>
      <c r="AR10" s="232"/>
    </row>
    <row r="11" spans="2:44" x14ac:dyDescent="0.25">
      <c r="B11" s="56"/>
      <c r="W11" s="57"/>
      <c r="Y11" s="56"/>
      <c r="AC11" s="57"/>
      <c r="AF11" s="56"/>
      <c r="AJ11" s="57"/>
      <c r="AM11" s="167"/>
      <c r="AR11" s="232"/>
    </row>
    <row r="12" spans="2:44" x14ac:dyDescent="0.25">
      <c r="B12" s="56"/>
      <c r="W12" s="57"/>
      <c r="Y12" s="56"/>
      <c r="AC12" s="57"/>
      <c r="AF12" s="56"/>
      <c r="AJ12" s="57"/>
      <c r="AM12" s="167"/>
      <c r="AR12" s="232"/>
    </row>
    <row r="13" spans="2:44" x14ac:dyDescent="0.25">
      <c r="B13" s="56"/>
      <c r="W13" s="57"/>
      <c r="Y13" s="56"/>
      <c r="AC13" s="57"/>
      <c r="AF13" s="56"/>
      <c r="AJ13" s="57"/>
      <c r="AM13" s="167"/>
      <c r="AR13" s="232"/>
    </row>
    <row r="14" spans="2:44" x14ac:dyDescent="0.25">
      <c r="B14" s="56"/>
      <c r="W14" s="57"/>
      <c r="Y14" s="56"/>
      <c r="AC14" s="57"/>
      <c r="AF14" s="56"/>
      <c r="AJ14" s="57"/>
      <c r="AM14" s="167"/>
      <c r="AR14" s="232"/>
    </row>
    <row r="15" spans="2:44" ht="16.5" thickBot="1" x14ac:dyDescent="0.3">
      <c r="B15" s="56"/>
      <c r="W15" s="57"/>
      <c r="Y15" s="59"/>
      <c r="Z15" s="60"/>
      <c r="AA15" s="60"/>
      <c r="AB15" s="60"/>
      <c r="AC15" s="61"/>
      <c r="AF15" s="59"/>
      <c r="AG15" s="60"/>
      <c r="AH15" s="60"/>
      <c r="AI15" s="60"/>
      <c r="AJ15" s="61"/>
      <c r="AM15" s="233"/>
      <c r="AN15" s="162"/>
      <c r="AO15" s="162"/>
      <c r="AP15" s="162"/>
      <c r="AQ15" s="162"/>
      <c r="AR15" s="234"/>
    </row>
    <row r="16" spans="2:44" x14ac:dyDescent="0.25">
      <c r="B16" s="56"/>
      <c r="W16" s="57"/>
    </row>
    <row r="17" spans="2:44" x14ac:dyDescent="0.25">
      <c r="B17" s="56"/>
      <c r="W17" s="57"/>
    </row>
    <row r="18" spans="2:44" x14ac:dyDescent="0.25">
      <c r="B18" s="56"/>
      <c r="W18" s="57"/>
    </row>
    <row r="19" spans="2:44" x14ac:dyDescent="0.25">
      <c r="B19" s="56"/>
      <c r="W19" s="57"/>
    </row>
    <row r="20" spans="2:44" x14ac:dyDescent="0.25">
      <c r="B20" s="56"/>
      <c r="W20" s="57"/>
    </row>
    <row r="21" spans="2:44" x14ac:dyDescent="0.25">
      <c r="B21" s="56"/>
      <c r="W21" s="57"/>
    </row>
    <row r="22" spans="2:44" x14ac:dyDescent="0.25">
      <c r="B22" s="56"/>
      <c r="W22" s="57"/>
    </row>
    <row r="23" spans="2:44" x14ac:dyDescent="0.25">
      <c r="B23" s="56"/>
      <c r="W23" s="57"/>
    </row>
    <row r="24" spans="2:44" x14ac:dyDescent="0.25">
      <c r="B24" s="56"/>
      <c r="W24" s="57"/>
    </row>
    <row r="25" spans="2:44" ht="16.5" thickBot="1" x14ac:dyDescent="0.3">
      <c r="B25" s="59"/>
      <c r="C25" s="60"/>
      <c r="D25" s="60"/>
      <c r="E25" s="60"/>
      <c r="F25" s="60"/>
      <c r="G25" s="60"/>
      <c r="H25" s="60"/>
      <c r="I25" s="60"/>
      <c r="J25" s="60"/>
      <c r="K25" s="60"/>
      <c r="L25" s="60"/>
      <c r="M25" s="60"/>
      <c r="N25" s="60"/>
      <c r="O25" s="60"/>
      <c r="P25" s="60"/>
      <c r="Q25" s="60"/>
      <c r="R25" s="60"/>
      <c r="S25" s="60"/>
      <c r="T25" s="60"/>
      <c r="U25" s="60"/>
      <c r="V25" s="60"/>
      <c r="W25" s="61"/>
    </row>
    <row r="26" spans="2:44" ht="26.45" customHeight="1" x14ac:dyDescent="0.25"/>
    <row r="27" spans="2:44" ht="6" customHeight="1" thickBot="1" x14ac:dyDescent="0.3"/>
    <row r="28" spans="2:44" ht="16.5" thickBot="1" x14ac:dyDescent="0.3">
      <c r="B28" s="790" t="s">
        <v>22</v>
      </c>
      <c r="C28" s="791"/>
      <c r="D28" s="791"/>
      <c r="E28" s="791"/>
      <c r="F28" s="791"/>
      <c r="G28" s="791"/>
      <c r="H28" s="791"/>
      <c r="I28" s="791"/>
      <c r="J28" s="791"/>
      <c r="K28" s="791"/>
      <c r="L28" s="792"/>
      <c r="N28" s="778" t="s">
        <v>23</v>
      </c>
      <c r="O28" s="779"/>
      <c r="P28" s="779"/>
      <c r="Q28" s="779"/>
      <c r="R28" s="779"/>
      <c r="S28" s="779"/>
      <c r="T28" s="779"/>
      <c r="U28" s="779"/>
      <c r="V28" s="779"/>
      <c r="W28" s="779"/>
      <c r="X28" s="779"/>
      <c r="Y28" s="779"/>
      <c r="Z28" s="779"/>
      <c r="AA28" s="779"/>
      <c r="AB28" s="779"/>
      <c r="AC28" s="780"/>
      <c r="AD28" s="213"/>
      <c r="AF28" s="778" t="s">
        <v>24</v>
      </c>
      <c r="AG28" s="779"/>
      <c r="AH28" s="779"/>
      <c r="AI28" s="779"/>
      <c r="AJ28" s="779"/>
      <c r="AK28" s="779"/>
      <c r="AL28" s="779"/>
      <c r="AM28" s="779"/>
      <c r="AN28" s="779"/>
      <c r="AO28" s="779"/>
      <c r="AP28" s="779"/>
      <c r="AQ28" s="779"/>
      <c r="AR28" s="780"/>
    </row>
    <row r="29" spans="2:44" x14ac:dyDescent="0.25">
      <c r="B29" s="56"/>
      <c r="L29" s="57"/>
      <c r="N29" s="56"/>
      <c r="AC29" s="57"/>
      <c r="AF29" s="56"/>
      <c r="AR29" s="57"/>
    </row>
    <row r="30" spans="2:44" x14ac:dyDescent="0.25">
      <c r="B30" s="56"/>
      <c r="L30" s="57"/>
      <c r="N30" s="56"/>
      <c r="AC30" s="57"/>
      <c r="AF30" s="56"/>
      <c r="AR30" s="57"/>
    </row>
    <row r="31" spans="2:44" x14ac:dyDescent="0.25">
      <c r="B31" s="56"/>
      <c r="L31" s="57"/>
      <c r="N31" s="56"/>
      <c r="AC31" s="57"/>
      <c r="AF31" s="56"/>
      <c r="AR31" s="57"/>
    </row>
    <row r="32" spans="2:44" x14ac:dyDescent="0.25">
      <c r="B32" s="56"/>
      <c r="L32" s="57"/>
      <c r="N32" s="56"/>
      <c r="AC32" s="57"/>
      <c r="AF32" s="56"/>
      <c r="AR32" s="57"/>
    </row>
    <row r="33" spans="2:44" x14ac:dyDescent="0.25">
      <c r="B33" s="56"/>
      <c r="L33" s="57"/>
      <c r="N33" s="56"/>
      <c r="AC33" s="57"/>
      <c r="AF33" s="56"/>
      <c r="AR33" s="57"/>
    </row>
    <row r="34" spans="2:44" x14ac:dyDescent="0.25">
      <c r="B34" s="56"/>
      <c r="L34" s="57"/>
      <c r="N34" s="56"/>
      <c r="AC34" s="57"/>
      <c r="AF34" s="56"/>
      <c r="AR34" s="57"/>
    </row>
    <row r="35" spans="2:44" x14ac:dyDescent="0.25">
      <c r="B35" s="56"/>
      <c r="L35" s="57"/>
      <c r="N35" s="56"/>
      <c r="AC35" s="57"/>
      <c r="AF35" s="56"/>
      <c r="AR35" s="57"/>
    </row>
    <row r="36" spans="2:44" x14ac:dyDescent="0.25">
      <c r="B36" s="56"/>
      <c r="L36" s="57"/>
      <c r="N36" s="56"/>
      <c r="AC36" s="57"/>
      <c r="AF36" s="56"/>
      <c r="AR36" s="57"/>
    </row>
    <row r="37" spans="2:44" x14ac:dyDescent="0.25">
      <c r="B37" s="56"/>
      <c r="L37" s="57"/>
      <c r="N37" s="56"/>
      <c r="AC37" s="57"/>
      <c r="AF37" s="56"/>
      <c r="AR37" s="57"/>
    </row>
    <row r="38" spans="2:44" x14ac:dyDescent="0.25">
      <c r="B38" s="56"/>
      <c r="L38" s="57"/>
      <c r="N38" s="56"/>
      <c r="AC38" s="57"/>
      <c r="AF38" s="56"/>
      <c r="AR38" s="57"/>
    </row>
    <row r="39" spans="2:44" x14ac:dyDescent="0.25">
      <c r="B39" s="56"/>
      <c r="L39" s="57"/>
      <c r="N39" s="56"/>
      <c r="AC39" s="57"/>
      <c r="AF39" s="56"/>
      <c r="AR39" s="57"/>
    </row>
    <row r="40" spans="2:44" ht="16.5" thickBot="1" x14ac:dyDescent="0.3">
      <c r="B40" s="59"/>
      <c r="C40" s="60"/>
      <c r="D40" s="60"/>
      <c r="E40" s="60"/>
      <c r="F40" s="60"/>
      <c r="G40" s="60"/>
      <c r="H40" s="60"/>
      <c r="I40" s="60"/>
      <c r="J40" s="60"/>
      <c r="K40" s="60"/>
      <c r="L40" s="61"/>
      <c r="N40" s="59"/>
      <c r="O40" s="60"/>
      <c r="P40" s="60"/>
      <c r="Q40" s="60"/>
      <c r="R40" s="60"/>
      <c r="S40" s="60"/>
      <c r="T40" s="60"/>
      <c r="U40" s="60"/>
      <c r="V40" s="60"/>
      <c r="W40" s="60"/>
      <c r="X40" s="60"/>
      <c r="Y40" s="60"/>
      <c r="Z40" s="60"/>
      <c r="AA40" s="60"/>
      <c r="AB40" s="60"/>
      <c r="AC40" s="61"/>
      <c r="AF40" s="59"/>
      <c r="AG40" s="60"/>
      <c r="AH40" s="60"/>
      <c r="AI40" s="60"/>
      <c r="AJ40" s="60"/>
      <c r="AK40" s="60"/>
      <c r="AL40" s="60"/>
      <c r="AM40" s="60"/>
      <c r="AN40" s="60"/>
      <c r="AO40" s="60"/>
      <c r="AP40" s="60"/>
      <c r="AQ40" s="60"/>
      <c r="AR40" s="61"/>
    </row>
    <row r="41" spans="2:44" ht="16.5" thickBot="1" x14ac:dyDescent="0.3"/>
    <row r="42" spans="2:44" ht="16.5" thickBot="1" x14ac:dyDescent="0.3">
      <c r="B42" s="790" t="s">
        <v>25</v>
      </c>
      <c r="C42" s="791"/>
      <c r="D42" s="791"/>
      <c r="E42" s="791"/>
      <c r="F42" s="791"/>
      <c r="G42" s="791"/>
      <c r="H42" s="791"/>
      <c r="I42" s="791"/>
      <c r="J42" s="791"/>
      <c r="K42" s="791"/>
      <c r="L42" s="792"/>
      <c r="N42" s="778" t="s">
        <v>26</v>
      </c>
      <c r="O42" s="779"/>
      <c r="P42" s="779"/>
      <c r="Q42" s="779"/>
      <c r="R42" s="779"/>
      <c r="S42" s="779"/>
      <c r="T42" s="779"/>
      <c r="U42" s="779"/>
      <c r="V42" s="779"/>
      <c r="W42" s="779"/>
      <c r="X42" s="779"/>
      <c r="Y42" s="779"/>
      <c r="Z42" s="779"/>
      <c r="AA42" s="779"/>
      <c r="AB42" s="779"/>
      <c r="AC42" s="780"/>
      <c r="AD42" s="213"/>
      <c r="AF42" s="778" t="s">
        <v>27</v>
      </c>
      <c r="AG42" s="779"/>
      <c r="AH42" s="779"/>
      <c r="AI42" s="779"/>
      <c r="AJ42" s="779"/>
      <c r="AK42" s="779"/>
      <c r="AL42" s="779"/>
      <c r="AM42" s="779"/>
      <c r="AN42" s="779"/>
      <c r="AO42" s="779"/>
      <c r="AP42" s="779"/>
      <c r="AQ42" s="779"/>
      <c r="AR42" s="235"/>
    </row>
    <row r="43" spans="2:44" x14ac:dyDescent="0.25">
      <c r="B43" s="56"/>
      <c r="L43" s="57"/>
      <c r="N43" s="56"/>
      <c r="AC43" s="57"/>
      <c r="AF43" s="56"/>
      <c r="AR43" s="57"/>
    </row>
    <row r="44" spans="2:44" x14ac:dyDescent="0.25">
      <c r="B44" s="56"/>
      <c r="L44" s="57"/>
      <c r="N44" s="56"/>
      <c r="AC44" s="57"/>
      <c r="AF44" s="56"/>
      <c r="AR44" s="57"/>
    </row>
    <row r="45" spans="2:44" x14ac:dyDescent="0.25">
      <c r="B45" s="56"/>
      <c r="L45" s="57"/>
      <c r="N45" s="56"/>
      <c r="AC45" s="57"/>
      <c r="AF45" s="56"/>
      <c r="AR45" s="57"/>
    </row>
    <row r="46" spans="2:44" x14ac:dyDescent="0.25">
      <c r="B46" s="56"/>
      <c r="L46" s="57"/>
      <c r="N46" s="56"/>
      <c r="AC46" s="57"/>
      <c r="AF46" s="56"/>
      <c r="AR46" s="57"/>
    </row>
    <row r="47" spans="2:44" x14ac:dyDescent="0.25">
      <c r="B47" s="56"/>
      <c r="L47" s="57"/>
      <c r="N47" s="56"/>
      <c r="AC47" s="57"/>
      <c r="AF47" s="56"/>
      <c r="AR47" s="57"/>
    </row>
    <row r="48" spans="2:44" x14ac:dyDescent="0.25">
      <c r="B48" s="56"/>
      <c r="L48" s="57"/>
      <c r="N48" s="56"/>
      <c r="AC48" s="57"/>
      <c r="AF48" s="56"/>
      <c r="AR48" s="57"/>
    </row>
    <row r="49" spans="2:44" x14ac:dyDescent="0.25">
      <c r="B49" s="56"/>
      <c r="L49" s="57"/>
      <c r="N49" s="56"/>
      <c r="AC49" s="57"/>
      <c r="AF49" s="56"/>
      <c r="AR49" s="57"/>
    </row>
    <row r="50" spans="2:44" x14ac:dyDescent="0.25">
      <c r="B50" s="56"/>
      <c r="L50" s="57"/>
      <c r="N50" s="56"/>
      <c r="AC50" s="57"/>
      <c r="AF50" s="56"/>
      <c r="AR50" s="57"/>
    </row>
    <row r="51" spans="2:44" x14ac:dyDescent="0.25">
      <c r="B51" s="56"/>
      <c r="L51" s="57"/>
      <c r="N51" s="56"/>
      <c r="AC51" s="57"/>
      <c r="AF51" s="56"/>
      <c r="AR51" s="57"/>
    </row>
    <row r="52" spans="2:44" x14ac:dyDescent="0.25">
      <c r="B52" s="56"/>
      <c r="L52" s="57"/>
      <c r="N52" s="56"/>
      <c r="AC52" s="57"/>
      <c r="AF52" s="56"/>
      <c r="AR52" s="57"/>
    </row>
    <row r="53" spans="2:44" ht="16.5" thickBot="1" x14ac:dyDescent="0.3">
      <c r="B53" s="59"/>
      <c r="C53" s="60"/>
      <c r="D53" s="60"/>
      <c r="E53" s="60"/>
      <c r="F53" s="60"/>
      <c r="G53" s="60"/>
      <c r="H53" s="60"/>
      <c r="I53" s="60"/>
      <c r="J53" s="60"/>
      <c r="K53" s="60"/>
      <c r="L53" s="61"/>
      <c r="N53" s="59"/>
      <c r="O53" s="60"/>
      <c r="P53" s="60"/>
      <c r="Q53" s="60"/>
      <c r="R53" s="60"/>
      <c r="S53" s="60"/>
      <c r="T53" s="60"/>
      <c r="U53" s="60"/>
      <c r="V53" s="60"/>
      <c r="W53" s="60"/>
      <c r="X53" s="60"/>
      <c r="Y53" s="60"/>
      <c r="Z53" s="60"/>
      <c r="AA53" s="60"/>
      <c r="AB53" s="60"/>
      <c r="AC53" s="61"/>
      <c r="AF53" s="59"/>
      <c r="AG53" s="60"/>
      <c r="AH53" s="60"/>
      <c r="AI53" s="60"/>
      <c r="AJ53" s="60"/>
      <c r="AK53" s="60"/>
      <c r="AL53" s="60"/>
      <c r="AM53" s="60"/>
      <c r="AN53" s="60"/>
      <c r="AO53" s="60"/>
      <c r="AP53" s="60"/>
      <c r="AQ53" s="60"/>
      <c r="AR53" s="61"/>
    </row>
    <row r="55" spans="2:44" ht="16.5" thickBot="1" x14ac:dyDescent="0.3"/>
    <row r="56" spans="2:44" x14ac:dyDescent="0.25">
      <c r="B56" s="775" t="s">
        <v>403</v>
      </c>
      <c r="C56" s="776"/>
      <c r="D56" s="776"/>
      <c r="E56" s="776"/>
      <c r="F56" s="776"/>
      <c r="G56" s="776"/>
      <c r="H56" s="776"/>
      <c r="I56" s="776"/>
      <c r="J56" s="776"/>
      <c r="K56" s="776"/>
      <c r="L56" s="776"/>
      <c r="M56" s="776"/>
      <c r="N56" s="776"/>
      <c r="O56" s="776"/>
      <c r="P56" s="776"/>
      <c r="Q56" s="777"/>
    </row>
    <row r="57" spans="2:44" x14ac:dyDescent="0.25">
      <c r="B57" s="56"/>
      <c r="Q57" s="57"/>
    </row>
    <row r="58" spans="2:44" x14ac:dyDescent="0.25">
      <c r="B58" s="56"/>
      <c r="Q58" s="57"/>
    </row>
    <row r="59" spans="2:44" x14ac:dyDescent="0.25">
      <c r="B59" s="56"/>
      <c r="Q59" s="57"/>
    </row>
    <row r="60" spans="2:44" x14ac:dyDescent="0.25">
      <c r="B60" s="56"/>
      <c r="Q60" s="57"/>
    </row>
    <row r="61" spans="2:44" x14ac:dyDescent="0.25">
      <c r="B61" s="56"/>
      <c r="Q61" s="57"/>
    </row>
    <row r="62" spans="2:44" x14ac:dyDescent="0.25">
      <c r="B62" s="56"/>
      <c r="Q62" s="57"/>
    </row>
    <row r="63" spans="2:44" x14ac:dyDescent="0.25">
      <c r="B63" s="56"/>
      <c r="Q63" s="57"/>
    </row>
    <row r="64" spans="2:44" x14ac:dyDescent="0.25">
      <c r="B64" s="56"/>
      <c r="Q64" s="57"/>
    </row>
    <row r="65" spans="2:17" x14ac:dyDescent="0.25">
      <c r="B65" s="56"/>
      <c r="Q65" s="57"/>
    </row>
    <row r="66" spans="2:17" x14ac:dyDescent="0.25">
      <c r="B66" s="56"/>
      <c r="Q66" s="57"/>
    </row>
    <row r="67" spans="2:17" x14ac:dyDescent="0.25">
      <c r="B67" s="56"/>
      <c r="Q67" s="57"/>
    </row>
    <row r="68" spans="2:17" ht="16.5" thickBot="1" x14ac:dyDescent="0.3">
      <c r="B68" s="59"/>
      <c r="C68" s="60"/>
      <c r="D68" s="60"/>
      <c r="E68" s="60"/>
      <c r="F68" s="60"/>
      <c r="G68" s="60"/>
      <c r="H68" s="60"/>
      <c r="I68" s="60"/>
      <c r="J68" s="60"/>
      <c r="K68" s="60"/>
      <c r="L68" s="60"/>
      <c r="M68" s="60"/>
      <c r="N68" s="60"/>
      <c r="O68" s="60"/>
      <c r="P68" s="60"/>
      <c r="Q68" s="61"/>
    </row>
  </sheetData>
  <mergeCells count="11">
    <mergeCell ref="B56:Q56"/>
    <mergeCell ref="N28:AC28"/>
    <mergeCell ref="N42:AC42"/>
    <mergeCell ref="B3:W3"/>
    <mergeCell ref="AM3:AR3"/>
    <mergeCell ref="AF28:AR28"/>
    <mergeCell ref="AF3:AJ3"/>
    <mergeCell ref="Y3:AC3"/>
    <mergeCell ref="B28:L28"/>
    <mergeCell ref="B42:L42"/>
    <mergeCell ref="AF42:AQ42"/>
  </mergeCells>
  <hyperlinks>
    <hyperlink ref="B1" location="Index!A1" display="Home Index (click here)" xr:uid="{32558D86-F14D-4E52-90B2-52FE73AFE15B}"/>
    <hyperlink ref="B1:D1" location="Index!A1" display="Home Index (click here)" xr:uid="{613D01A5-78D7-4243-8D2D-9B3BDD454CB3}"/>
  </hyperlinks>
  <pageMargins left="0.7" right="0.7" top="0.75" bottom="0.75" header="0.3" footer="0.3"/>
  <pageSetup paperSize="9" scale="45" orientation="landscape" horizontalDpi="300" verticalDpi="0" r:id="rId1"/>
  <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F06415-EA4B-4852-A278-404C828149EF}">
  <sheetPr>
    <pageSetUpPr fitToPage="1"/>
  </sheetPr>
  <dimension ref="B1:J73"/>
  <sheetViews>
    <sheetView workbookViewId="0">
      <selection activeCell="E5" sqref="E5"/>
    </sheetView>
  </sheetViews>
  <sheetFormatPr defaultRowHeight="15.75" x14ac:dyDescent="0.25"/>
  <cols>
    <col min="1" max="1" width="2.42578125" customWidth="1"/>
    <col min="2" max="2" width="28.7109375" style="12" customWidth="1"/>
    <col min="3" max="3" width="32.140625" style="12" customWidth="1"/>
    <col min="4" max="4" width="32.28515625" customWidth="1"/>
    <col min="5" max="5" width="30.5703125" customWidth="1"/>
    <col min="6" max="6" width="28.140625" customWidth="1"/>
    <col min="7" max="7" width="27.140625" customWidth="1"/>
    <col min="8" max="8" width="29.42578125" customWidth="1"/>
    <col min="9" max="9" width="30.28515625" customWidth="1"/>
    <col min="10" max="10" width="13.28515625" bestFit="1" customWidth="1"/>
  </cols>
  <sheetData>
    <row r="1" spans="2:9" ht="21" thickBot="1" x14ac:dyDescent="0.35">
      <c r="B1" s="132" t="s">
        <v>248</v>
      </c>
      <c r="H1" s="237" t="s">
        <v>265</v>
      </c>
    </row>
    <row r="2" spans="2:9" ht="16.5" thickBot="1" x14ac:dyDescent="0.3">
      <c r="H2" s="237" t="s">
        <v>228</v>
      </c>
    </row>
    <row r="3" spans="2:9" s="13" customFormat="1" ht="36.75" thickBot="1" x14ac:dyDescent="0.25">
      <c r="B3" s="23" t="s">
        <v>399</v>
      </c>
      <c r="C3" s="24" t="s">
        <v>132</v>
      </c>
      <c r="D3" s="24" t="s">
        <v>142</v>
      </c>
      <c r="E3" s="24" t="s">
        <v>133</v>
      </c>
      <c r="F3" s="24" t="s">
        <v>134</v>
      </c>
      <c r="G3" s="25" t="s">
        <v>140</v>
      </c>
      <c r="H3" s="236" t="s">
        <v>212</v>
      </c>
      <c r="I3" s="25" t="s">
        <v>264</v>
      </c>
    </row>
    <row r="4" spans="2:9" ht="168" x14ac:dyDescent="0.25">
      <c r="B4" s="21" t="s">
        <v>115</v>
      </c>
      <c r="C4" s="21" t="s">
        <v>149</v>
      </c>
      <c r="D4" s="22" t="s">
        <v>123</v>
      </c>
      <c r="E4" s="21" t="s">
        <v>129</v>
      </c>
      <c r="F4" s="21" t="s">
        <v>136</v>
      </c>
      <c r="G4" s="21" t="s">
        <v>153</v>
      </c>
      <c r="H4" s="21" t="s">
        <v>227</v>
      </c>
      <c r="I4" s="21" t="s">
        <v>226</v>
      </c>
    </row>
    <row r="5" spans="2:9" ht="132" x14ac:dyDescent="0.25">
      <c r="B5" s="14" t="s">
        <v>116</v>
      </c>
      <c r="C5" s="14" t="s">
        <v>122</v>
      </c>
      <c r="D5" s="15" t="s">
        <v>124</v>
      </c>
      <c r="E5" s="15" t="s">
        <v>128</v>
      </c>
      <c r="F5" s="14" t="s">
        <v>135</v>
      </c>
      <c r="G5" s="14" t="s">
        <v>145</v>
      </c>
      <c r="H5" s="14" t="s">
        <v>235</v>
      </c>
      <c r="I5" s="21" t="s">
        <v>247</v>
      </c>
    </row>
    <row r="6" spans="2:9" ht="47.25" x14ac:dyDescent="0.25">
      <c r="B6" s="17" t="s">
        <v>117</v>
      </c>
      <c r="C6" s="17" t="s">
        <v>121</v>
      </c>
      <c r="D6" s="17" t="s">
        <v>127</v>
      </c>
      <c r="E6" s="17" t="s">
        <v>130</v>
      </c>
      <c r="F6" s="17" t="s">
        <v>139</v>
      </c>
      <c r="G6" s="17" t="s">
        <v>146</v>
      </c>
      <c r="H6" s="17" t="s">
        <v>234</v>
      </c>
      <c r="I6" s="17" t="s">
        <v>213</v>
      </c>
    </row>
    <row r="7" spans="2:9" ht="168" x14ac:dyDescent="0.25">
      <c r="B7" s="14" t="s">
        <v>118</v>
      </c>
      <c r="C7" s="14" t="s">
        <v>119</v>
      </c>
      <c r="D7" s="16" t="s">
        <v>125</v>
      </c>
      <c r="E7" s="15" t="s">
        <v>131</v>
      </c>
      <c r="F7" s="18" t="s">
        <v>137</v>
      </c>
      <c r="G7" s="15" t="s">
        <v>148</v>
      </c>
      <c r="H7" s="15" t="s">
        <v>232</v>
      </c>
      <c r="I7" s="15" t="s">
        <v>245</v>
      </c>
    </row>
    <row r="8" spans="2:9" ht="240" x14ac:dyDescent="0.25">
      <c r="B8" s="19"/>
      <c r="C8" s="14" t="s">
        <v>120</v>
      </c>
      <c r="D8" s="14" t="s">
        <v>126</v>
      </c>
      <c r="E8" s="20"/>
      <c r="F8" s="14" t="s">
        <v>138</v>
      </c>
      <c r="G8" s="15" t="s">
        <v>147</v>
      </c>
      <c r="H8" s="129" t="s">
        <v>233</v>
      </c>
      <c r="I8" s="15" t="s">
        <v>246</v>
      </c>
    </row>
    <row r="9" spans="2:9" x14ac:dyDescent="0.25">
      <c r="F9" s="11"/>
    </row>
    <row r="10" spans="2:9" x14ac:dyDescent="0.25">
      <c r="F10" s="275"/>
    </row>
    <row r="11" spans="2:9" x14ac:dyDescent="0.25">
      <c r="D11" s="30"/>
    </row>
    <row r="24" spans="4:4" x14ac:dyDescent="0.25">
      <c r="D24" s="30"/>
    </row>
    <row r="26" spans="4:4" x14ac:dyDescent="0.25">
      <c r="D26" s="30"/>
    </row>
    <row r="27" spans="4:4" x14ac:dyDescent="0.25">
      <c r="D27" s="238"/>
    </row>
    <row r="28" spans="4:4" x14ac:dyDescent="0.25">
      <c r="D28" s="30"/>
    </row>
    <row r="29" spans="4:4" x14ac:dyDescent="0.25">
      <c r="D29" s="30"/>
    </row>
    <row r="36" spans="4:10" ht="20.25" x14ac:dyDescent="0.3">
      <c r="H36" s="276"/>
    </row>
    <row r="37" spans="4:10" ht="20.25" x14ac:dyDescent="0.3">
      <c r="H37" s="277"/>
    </row>
    <row r="41" spans="4:10" x14ac:dyDescent="0.25">
      <c r="F41" s="238"/>
      <c r="I41" s="50"/>
      <c r="J41" s="278"/>
    </row>
    <row r="43" spans="4:10" x14ac:dyDescent="0.25">
      <c r="F43" s="247"/>
      <c r="I43" s="42"/>
      <c r="J43" s="272"/>
    </row>
    <row r="44" spans="4:10" x14ac:dyDescent="0.25">
      <c r="E44" s="238"/>
      <c r="F44" s="244"/>
      <c r="I44" s="42"/>
      <c r="J44" s="272"/>
    </row>
    <row r="45" spans="4:10" x14ac:dyDescent="0.25">
      <c r="E45" s="238"/>
      <c r="I45" s="42"/>
      <c r="J45" s="272"/>
    </row>
    <row r="46" spans="4:10" x14ac:dyDescent="0.25">
      <c r="D46" s="30"/>
      <c r="I46" s="42"/>
      <c r="J46" s="272"/>
    </row>
    <row r="47" spans="4:10" x14ac:dyDescent="0.25">
      <c r="D47" s="279"/>
      <c r="I47" s="42"/>
      <c r="J47" s="272"/>
    </row>
    <row r="48" spans="4:10" x14ac:dyDescent="0.25">
      <c r="I48" s="42"/>
      <c r="J48" s="272"/>
    </row>
    <row r="49" spans="4:10" x14ac:dyDescent="0.25">
      <c r="G49" s="247"/>
      <c r="I49" s="42"/>
      <c r="J49" s="272"/>
    </row>
    <row r="50" spans="4:10" x14ac:dyDescent="0.25">
      <c r="G50" s="248"/>
      <c r="I50" s="50"/>
      <c r="J50" s="280"/>
    </row>
    <row r="51" spans="4:10" x14ac:dyDescent="0.25">
      <c r="I51" s="273"/>
      <c r="J51" s="274"/>
    </row>
    <row r="57" spans="4:10" x14ac:dyDescent="0.25">
      <c r="D57" s="30"/>
    </row>
    <row r="66" spans="4:7" x14ac:dyDescent="0.25">
      <c r="D66" s="239"/>
    </row>
    <row r="68" spans="4:7" x14ac:dyDescent="0.25">
      <c r="D68" s="238"/>
      <c r="F68" s="30"/>
      <c r="G68" s="30"/>
    </row>
    <row r="69" spans="4:7" x14ac:dyDescent="0.25">
      <c r="D69" s="238"/>
    </row>
    <row r="71" spans="4:7" x14ac:dyDescent="0.25">
      <c r="F71" s="245"/>
    </row>
    <row r="73" spans="4:7" x14ac:dyDescent="0.25">
      <c r="F73" s="244"/>
      <c r="G73" s="30"/>
    </row>
  </sheetData>
  <hyperlinks>
    <hyperlink ref="B1" location="Index!A1" display="Home Index (click here)" xr:uid="{19E75074-C26A-4E3B-9D75-7052ED6D02B1}"/>
  </hyperlinks>
  <pageMargins left="0.36" right="0.25" top="0.41" bottom="0.44" header="0.3" footer="0.3"/>
  <pageSetup paperSize="9" scale="76" fitToWidth="0" orientation="landscape" r:id="rId1"/>
  <legacy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43A900-46C1-470D-97DA-5075E7EC892F}">
  <dimension ref="A1:P175"/>
  <sheetViews>
    <sheetView workbookViewId="0">
      <selection activeCell="H78" sqref="H78"/>
    </sheetView>
  </sheetViews>
  <sheetFormatPr defaultRowHeight="18" x14ac:dyDescent="0.25"/>
  <cols>
    <col min="1" max="1" width="3.28515625" style="550" bestFit="1" customWidth="1"/>
    <col min="2" max="2" width="38.42578125" customWidth="1"/>
    <col min="3" max="3" width="19.5703125" customWidth="1"/>
    <col min="4" max="4" width="37.85546875" customWidth="1"/>
    <col min="5" max="5" width="19.7109375" customWidth="1"/>
    <col min="6" max="8" width="16.140625" customWidth="1"/>
    <col min="11" max="11" width="17.85546875" customWidth="1"/>
    <col min="14" max="14" width="13.5703125" customWidth="1"/>
    <col min="15" max="15" width="14.42578125" customWidth="1"/>
    <col min="16" max="16" width="16.42578125" customWidth="1"/>
  </cols>
  <sheetData>
    <row r="1" spans="1:8" ht="21" thickBot="1" x14ac:dyDescent="0.35">
      <c r="B1" s="132" t="s">
        <v>248</v>
      </c>
    </row>
    <row r="2" spans="1:8" ht="18.75" thickBot="1" x14ac:dyDescent="0.3">
      <c r="D2" s="239"/>
    </row>
    <row r="3" spans="1:8" ht="21" thickBot="1" x14ac:dyDescent="0.35">
      <c r="A3" s="1" t="s">
        <v>293</v>
      </c>
      <c r="B3" s="549" t="s">
        <v>610</v>
      </c>
      <c r="D3" s="580" t="s">
        <v>685</v>
      </c>
      <c r="E3" s="370"/>
      <c r="F3" s="42"/>
      <c r="G3" s="42"/>
      <c r="H3" s="42"/>
    </row>
    <row r="4" spans="1:8" ht="18.75" x14ac:dyDescent="0.3">
      <c r="A4" s="1"/>
      <c r="B4" s="42" t="s">
        <v>582</v>
      </c>
      <c r="C4" s="42"/>
      <c r="D4" s="42"/>
      <c r="E4" s="42"/>
      <c r="F4" s="42"/>
      <c r="G4" s="42"/>
      <c r="H4" s="42"/>
    </row>
    <row r="5" spans="1:8" ht="19.5" thickBot="1" x14ac:dyDescent="0.35">
      <c r="A5" s="1"/>
      <c r="B5" s="42" t="s">
        <v>704</v>
      </c>
      <c r="C5" s="42"/>
      <c r="D5" s="42"/>
      <c r="E5" s="42"/>
      <c r="F5" s="42"/>
      <c r="G5" s="42"/>
      <c r="H5" s="42"/>
    </row>
    <row r="6" spans="1:8" ht="18.75" x14ac:dyDescent="0.3">
      <c r="A6" s="1"/>
      <c r="B6" s="366"/>
      <c r="C6" s="367"/>
      <c r="D6" s="537"/>
      <c r="E6" s="539" t="s">
        <v>580</v>
      </c>
      <c r="F6" s="368"/>
      <c r="G6" s="42"/>
      <c r="H6" s="42"/>
    </row>
    <row r="7" spans="1:8" ht="36.75" customHeight="1" thickBot="1" x14ac:dyDescent="0.35">
      <c r="A7" s="1"/>
      <c r="B7" s="548" t="s">
        <v>583</v>
      </c>
      <c r="C7" s="551">
        <v>45291</v>
      </c>
      <c r="D7" s="552">
        <v>45473</v>
      </c>
      <c r="E7" s="553" t="s">
        <v>584</v>
      </c>
      <c r="F7" s="554" t="s">
        <v>585</v>
      </c>
      <c r="G7" s="673"/>
      <c r="H7" s="673"/>
    </row>
    <row r="8" spans="1:8" ht="18.75" x14ac:dyDescent="0.3">
      <c r="A8" s="1" t="s">
        <v>590</v>
      </c>
      <c r="B8" s="540" t="s">
        <v>732</v>
      </c>
      <c r="C8" s="367"/>
      <c r="D8" s="537"/>
      <c r="E8" s="367"/>
      <c r="F8" s="530"/>
      <c r="G8" s="535"/>
      <c r="H8" s="535"/>
    </row>
    <row r="9" spans="1:8" ht="18.75" x14ac:dyDescent="0.3">
      <c r="A9" s="1"/>
      <c r="B9" s="56" t="s">
        <v>49</v>
      </c>
      <c r="C9" s="536">
        <f>+'FS with Schedules'!I101</f>
        <v>69450796</v>
      </c>
      <c r="D9" s="538">
        <f>+'FS with Schedules'!J101</f>
        <v>66180974</v>
      </c>
      <c r="E9" s="31">
        <f>IF(D9&gt;C9,D9-C9,0)</f>
        <v>0</v>
      </c>
      <c r="F9" s="530">
        <f>IF(D9&lt;C9,C9-D9,0)</f>
        <v>3269822</v>
      </c>
      <c r="G9" s="535"/>
      <c r="H9" s="535"/>
    </row>
    <row r="10" spans="1:8" ht="18.75" x14ac:dyDescent="0.3">
      <c r="A10" s="1"/>
      <c r="B10" s="56" t="s">
        <v>50</v>
      </c>
      <c r="C10" s="536">
        <f>+'FS with Schedules'!I106</f>
        <v>296070720</v>
      </c>
      <c r="D10" s="538">
        <f>+'FS with Schedules'!J106</f>
        <v>263952251</v>
      </c>
      <c r="E10" s="31">
        <f>IF(D10&gt;C10,D10-C10,0)</f>
        <v>0</v>
      </c>
      <c r="F10" s="530">
        <f>IF(D10&lt;C10,C10-D10,0)</f>
        <v>32118469</v>
      </c>
      <c r="G10" s="535"/>
      <c r="H10" s="535"/>
    </row>
    <row r="11" spans="1:8" ht="18.75" x14ac:dyDescent="0.3">
      <c r="A11" s="1"/>
      <c r="B11" s="56" t="s">
        <v>587</v>
      </c>
      <c r="C11" s="536">
        <f>+'FS with Schedules'!I113</f>
        <v>41736989</v>
      </c>
      <c r="D11" s="538">
        <f>+'FS with Schedules'!J113</f>
        <v>46471122</v>
      </c>
      <c r="E11" s="31">
        <f>IF(D11&gt;C11,D11-C11,0)</f>
        <v>4734133</v>
      </c>
      <c r="F11" s="530">
        <f>IF(D11&lt;C11,C11-D11,0)</f>
        <v>0</v>
      </c>
      <c r="G11" s="535"/>
      <c r="H11" s="535"/>
    </row>
    <row r="12" spans="1:8" ht="18.75" x14ac:dyDescent="0.3">
      <c r="A12" s="1"/>
      <c r="B12" s="56" t="s">
        <v>588</v>
      </c>
      <c r="C12" s="536">
        <f>+'FS with Schedules'!I118</f>
        <v>11888779</v>
      </c>
      <c r="D12" s="538">
        <f>+'FS with Schedules'!J118</f>
        <v>4163401</v>
      </c>
      <c r="E12" s="31">
        <f>IF(D12&gt;C12,D12-C12,0)</f>
        <v>0</v>
      </c>
      <c r="F12" s="530">
        <f>IF(D12&lt;C12,C12-D12,0)</f>
        <v>7725378</v>
      </c>
      <c r="G12" s="535"/>
      <c r="H12" s="535"/>
    </row>
    <row r="13" spans="1:8" ht="18.75" x14ac:dyDescent="0.3">
      <c r="A13" s="1"/>
      <c r="B13" s="56"/>
      <c r="C13" s="536"/>
      <c r="D13" s="538"/>
      <c r="E13" s="535"/>
      <c r="F13" s="530"/>
      <c r="G13" s="535"/>
      <c r="H13" s="535"/>
    </row>
    <row r="14" spans="1:8" ht="18.75" x14ac:dyDescent="0.3">
      <c r="A14" s="1"/>
      <c r="B14" s="58" t="s">
        <v>596</v>
      </c>
      <c r="C14" s="536">
        <f>SUM(C9:C13)</f>
        <v>419147284</v>
      </c>
      <c r="D14" s="538">
        <f>SUM(D9:D13)</f>
        <v>380767748</v>
      </c>
      <c r="E14" s="535"/>
      <c r="F14" s="530"/>
      <c r="G14" s="535"/>
      <c r="H14" s="535"/>
    </row>
    <row r="15" spans="1:8" ht="18.75" x14ac:dyDescent="0.3">
      <c r="A15" s="1"/>
      <c r="B15" s="56"/>
      <c r="C15" s="536"/>
      <c r="D15" s="538"/>
      <c r="E15" s="535"/>
      <c r="F15" s="530"/>
      <c r="G15" s="535"/>
      <c r="H15" s="535"/>
    </row>
    <row r="16" spans="1:8" ht="18.75" x14ac:dyDescent="0.3">
      <c r="A16" s="1" t="s">
        <v>595</v>
      </c>
      <c r="B16" s="58" t="s">
        <v>733</v>
      </c>
      <c r="C16" s="536"/>
      <c r="D16" s="538"/>
      <c r="E16" s="535"/>
      <c r="F16" s="530"/>
      <c r="G16" s="535"/>
      <c r="H16" s="535"/>
    </row>
    <row r="17" spans="1:10" ht="18.75" x14ac:dyDescent="0.3">
      <c r="A17" s="1"/>
      <c r="B17" s="56" t="s">
        <v>59</v>
      </c>
      <c r="C17" s="536">
        <f>+'FS with Schedules'!I144</f>
        <v>107468896</v>
      </c>
      <c r="D17" s="538">
        <f>+'FS with Schedules'!J144</f>
        <v>145228527</v>
      </c>
      <c r="E17" s="31">
        <f t="shared" ref="E17:E23" si="0">IF(D17&lt;C17,C17-D17,0)</f>
        <v>0</v>
      </c>
      <c r="F17" s="530">
        <f t="shared" ref="F17:F23" si="1">IF(D17&gt;C17,D17-C17,0)</f>
        <v>37759631</v>
      </c>
      <c r="G17" s="535"/>
      <c r="H17" s="535"/>
    </row>
    <row r="18" spans="1:10" ht="18.75" x14ac:dyDescent="0.3">
      <c r="A18" s="1"/>
      <c r="B18" s="56" t="s">
        <v>464</v>
      </c>
      <c r="C18" s="536">
        <v>12141843</v>
      </c>
      <c r="D18" s="538">
        <v>0</v>
      </c>
      <c r="E18" s="31">
        <f t="shared" si="0"/>
        <v>12141843</v>
      </c>
      <c r="F18" s="530">
        <f t="shared" si="1"/>
        <v>0</v>
      </c>
      <c r="G18" s="535"/>
      <c r="H18" s="535"/>
    </row>
    <row r="19" spans="1:10" ht="18.75" x14ac:dyDescent="0.3">
      <c r="A19" s="1"/>
      <c r="B19" s="56" t="s">
        <v>592</v>
      </c>
      <c r="C19" s="536">
        <f>+'FS with Schedules'!I156-C18</f>
        <v>33988154</v>
      </c>
      <c r="D19" s="538">
        <f>+'FS with Schedules'!J156</f>
        <v>30889137</v>
      </c>
      <c r="E19" s="31">
        <f t="shared" si="0"/>
        <v>3099017</v>
      </c>
      <c r="F19" s="530">
        <f t="shared" si="1"/>
        <v>0</v>
      </c>
      <c r="G19" s="535"/>
      <c r="H19" s="535"/>
    </row>
    <row r="20" spans="1:10" ht="18.75" x14ac:dyDescent="0.3">
      <c r="A20" s="1"/>
      <c r="B20" s="56" t="s">
        <v>593</v>
      </c>
      <c r="C20" s="536">
        <f>+'FS with Schedules'!I158</f>
        <v>267678203</v>
      </c>
      <c r="D20" s="538">
        <f>+'FS with Schedules'!J158</f>
        <v>250163701</v>
      </c>
      <c r="E20" s="31">
        <f t="shared" si="0"/>
        <v>17514502</v>
      </c>
      <c r="F20" s="530">
        <f t="shared" si="1"/>
        <v>0</v>
      </c>
      <c r="G20" s="535"/>
      <c r="H20" s="535"/>
    </row>
    <row r="21" spans="1:10" ht="18.75" x14ac:dyDescent="0.3">
      <c r="A21" s="1"/>
      <c r="B21" s="56" t="s">
        <v>111</v>
      </c>
      <c r="C21" s="536">
        <f>+'FS with Schedules'!I160</f>
        <v>58946986</v>
      </c>
      <c r="D21" s="538">
        <f>+'FS with Schedules'!J160</f>
        <v>40232391</v>
      </c>
      <c r="E21" s="31">
        <f t="shared" si="0"/>
        <v>18714595</v>
      </c>
      <c r="F21" s="530">
        <f t="shared" si="1"/>
        <v>0</v>
      </c>
      <c r="G21" s="535"/>
      <c r="H21" s="535"/>
    </row>
    <row r="22" spans="1:10" ht="18.75" x14ac:dyDescent="0.3">
      <c r="A22" s="1"/>
      <c r="B22" s="56" t="s">
        <v>61</v>
      </c>
      <c r="C22" s="536">
        <f>+'FS with Schedules'!I162</f>
        <v>992455</v>
      </c>
      <c r="D22" s="538">
        <f>+'FS with Schedules'!J162</f>
        <v>5544675</v>
      </c>
      <c r="E22" s="31">
        <f t="shared" si="0"/>
        <v>0</v>
      </c>
      <c r="F22" s="530">
        <f t="shared" si="1"/>
        <v>4552220</v>
      </c>
      <c r="G22" s="535"/>
      <c r="H22" s="535"/>
    </row>
    <row r="23" spans="1:10" ht="18.75" x14ac:dyDescent="0.3">
      <c r="A23" s="1"/>
      <c r="B23" s="56" t="s">
        <v>594</v>
      </c>
      <c r="C23" s="536">
        <f>+'FS with Schedules'!I164</f>
        <v>1754223</v>
      </c>
      <c r="D23" s="538">
        <f>+'FS with Schedules'!J164</f>
        <v>1559142</v>
      </c>
      <c r="E23" s="31">
        <f t="shared" si="0"/>
        <v>195081</v>
      </c>
      <c r="F23" s="530">
        <f t="shared" si="1"/>
        <v>0</v>
      </c>
      <c r="G23" s="535"/>
      <c r="H23" s="535"/>
    </row>
    <row r="24" spans="1:10" ht="18.75" x14ac:dyDescent="0.3">
      <c r="A24" s="1"/>
      <c r="B24" s="56"/>
      <c r="C24" s="536"/>
      <c r="D24" s="538"/>
      <c r="E24" s="535"/>
      <c r="F24" s="530"/>
      <c r="G24" s="535"/>
      <c r="H24" s="535"/>
    </row>
    <row r="25" spans="1:10" ht="18.75" x14ac:dyDescent="0.3">
      <c r="A25" s="1"/>
      <c r="B25" s="58" t="s">
        <v>597</v>
      </c>
      <c r="C25" s="536">
        <f>SUM(C17:C23)</f>
        <v>482970760</v>
      </c>
      <c r="D25" s="538">
        <f>SUM(D17:D23)</f>
        <v>473617573</v>
      </c>
      <c r="E25" s="42"/>
      <c r="F25" s="530"/>
      <c r="G25" s="535"/>
      <c r="H25" s="535"/>
    </row>
    <row r="26" spans="1:10" ht="18.75" x14ac:dyDescent="0.3">
      <c r="A26" s="1"/>
      <c r="B26" s="56"/>
      <c r="C26" s="42"/>
      <c r="D26" s="232"/>
      <c r="E26" s="42"/>
      <c r="F26" s="530"/>
      <c r="G26" s="535"/>
      <c r="H26" s="535"/>
    </row>
    <row r="27" spans="1:10" ht="18.75" x14ac:dyDescent="0.3">
      <c r="A27" s="1"/>
      <c r="B27" s="58" t="s">
        <v>734</v>
      </c>
      <c r="C27" s="583">
        <f>C14-C25</f>
        <v>-63823476</v>
      </c>
      <c r="D27" s="542">
        <f>D14-D25</f>
        <v>-92849825</v>
      </c>
      <c r="E27" s="536">
        <f>SUM(E9:E24)</f>
        <v>56399171</v>
      </c>
      <c r="F27" s="530">
        <f>SUM(F9:F24)</f>
        <v>85425520</v>
      </c>
      <c r="G27" s="535"/>
      <c r="H27" s="535"/>
    </row>
    <row r="28" spans="1:10" ht="19.5" thickBot="1" x14ac:dyDescent="0.35">
      <c r="A28" s="1"/>
      <c r="B28" s="674" t="s">
        <v>735</v>
      </c>
      <c r="C28" s="42"/>
      <c r="D28" s="232"/>
      <c r="E28" s="50"/>
      <c r="F28" s="530"/>
      <c r="G28" s="541"/>
      <c r="H28" s="541"/>
    </row>
    <row r="29" spans="1:10" ht="18.75" x14ac:dyDescent="0.3">
      <c r="A29" s="1"/>
      <c r="B29" s="546" t="s">
        <v>800</v>
      </c>
      <c r="C29" s="547"/>
      <c r="D29" s="584">
        <f>(D27-C27)</f>
        <v>-29026349</v>
      </c>
      <c r="E29" s="793">
        <f>E27-F27</f>
        <v>-29026349</v>
      </c>
      <c r="F29" s="794"/>
      <c r="G29" s="675"/>
      <c r="H29" s="675"/>
    </row>
    <row r="30" spans="1:10" ht="19.5" thickBot="1" x14ac:dyDescent="0.35">
      <c r="A30" s="1"/>
      <c r="B30" s="543" t="s">
        <v>695</v>
      </c>
      <c r="C30" s="544"/>
      <c r="D30" s="544"/>
      <c r="E30" s="543"/>
      <c r="F30" s="545"/>
      <c r="G30" s="1"/>
      <c r="H30" s="1"/>
    </row>
    <row r="31" spans="1:10" x14ac:dyDescent="0.25">
      <c r="D31" s="672"/>
      <c r="J31" s="291"/>
    </row>
    <row r="32" spans="1:10" x14ac:dyDescent="0.25">
      <c r="D32" s="672"/>
    </row>
    <row r="33" spans="1:16" x14ac:dyDescent="0.25">
      <c r="D33" s="672"/>
    </row>
    <row r="34" spans="1:16" x14ac:dyDescent="0.25">
      <c r="D34" s="239"/>
    </row>
    <row r="35" spans="1:16" x14ac:dyDescent="0.25">
      <c r="D35" s="239"/>
    </row>
    <row r="36" spans="1:16" ht="20.25" x14ac:dyDescent="0.3">
      <c r="A36" s="1" t="s">
        <v>589</v>
      </c>
      <c r="B36" s="569" t="s">
        <v>697</v>
      </c>
      <c r="C36" s="570"/>
      <c r="D36" s="570"/>
      <c r="E36" s="570"/>
      <c r="F36" s="42"/>
      <c r="G36" s="42"/>
      <c r="H36" s="42"/>
    </row>
    <row r="37" spans="1:16" ht="18.75" x14ac:dyDescent="0.3">
      <c r="A37" s="1"/>
      <c r="B37" s="660" t="s">
        <v>731</v>
      </c>
      <c r="C37" s="570"/>
      <c r="D37" s="570"/>
      <c r="E37" s="570"/>
      <c r="F37" s="42"/>
      <c r="G37" s="42"/>
      <c r="H37" s="42"/>
    </row>
    <row r="38" spans="1:16" ht="18.75" x14ac:dyDescent="0.3">
      <c r="A38" s="1"/>
      <c r="B38" s="573" t="s">
        <v>614</v>
      </c>
      <c r="C38" s="663" t="s">
        <v>612</v>
      </c>
      <c r="D38" s="574" t="s">
        <v>614</v>
      </c>
      <c r="E38" s="573" t="s">
        <v>612</v>
      </c>
      <c r="F38" s="644"/>
      <c r="G38" s="644" t="s">
        <v>804</v>
      </c>
      <c r="H38" s="644">
        <f>+' - CFS'!J5</f>
        <v>-28862477</v>
      </c>
    </row>
    <row r="39" spans="1:16" ht="18.75" x14ac:dyDescent="0.3">
      <c r="A39" s="1"/>
      <c r="B39" s="667"/>
      <c r="C39" s="640"/>
      <c r="D39" s="641"/>
      <c r="E39" s="640"/>
      <c r="F39" s="535"/>
      <c r="G39" s="535" t="s">
        <v>805</v>
      </c>
      <c r="H39" s="535"/>
    </row>
    <row r="40" spans="1:16" ht="18.75" x14ac:dyDescent="0.3">
      <c r="A40" s="1"/>
      <c r="B40" s="588"/>
      <c r="C40" s="589"/>
      <c r="D40" s="586" t="s">
        <v>709</v>
      </c>
      <c r="E40" s="106">
        <f>+EBITDA!$I$19</f>
        <v>-107770886</v>
      </c>
      <c r="F40" s="535"/>
      <c r="G40" s="535" t="s">
        <v>807</v>
      </c>
      <c r="H40" s="535">
        <f>643874701-628232899</f>
        <v>15641802</v>
      </c>
      <c r="J40" s="535"/>
      <c r="O40" s="535"/>
      <c r="P40" s="535"/>
    </row>
    <row r="41" spans="1:16" ht="18.75" x14ac:dyDescent="0.3">
      <c r="A41" s="1"/>
      <c r="B41" s="668" t="s">
        <v>727</v>
      </c>
      <c r="C41" s="575">
        <f>1056775-968632</f>
        <v>88143</v>
      </c>
      <c r="D41" s="641"/>
      <c r="E41" s="645"/>
      <c r="F41" s="535"/>
      <c r="G41" s="535" t="s">
        <v>808</v>
      </c>
      <c r="H41" s="535">
        <f>1056775-968632</f>
        <v>88143</v>
      </c>
      <c r="J41" s="535"/>
      <c r="O41" s="535"/>
      <c r="P41" s="535"/>
    </row>
    <row r="42" spans="1:16" ht="18.75" x14ac:dyDescent="0.3">
      <c r="A42" s="1"/>
      <c r="B42" s="668"/>
      <c r="C42" s="575"/>
      <c r="E42" s="589"/>
      <c r="F42" s="535"/>
      <c r="G42" s="535"/>
      <c r="H42" s="535"/>
      <c r="J42" s="535"/>
      <c r="O42" s="535"/>
      <c r="P42" s="535"/>
    </row>
    <row r="43" spans="1:16" ht="18.75" x14ac:dyDescent="0.3">
      <c r="A43" s="1"/>
      <c r="B43" s="668" t="s">
        <v>724</v>
      </c>
      <c r="C43" s="575">
        <f>49975669-48766362</f>
        <v>1209307</v>
      </c>
      <c r="D43" s="641"/>
      <c r="E43" s="645"/>
      <c r="F43" s="535"/>
      <c r="G43" s="535" t="s">
        <v>806</v>
      </c>
      <c r="H43" s="535"/>
      <c r="J43" s="535"/>
      <c r="O43" s="535"/>
      <c r="P43" s="535"/>
    </row>
    <row r="44" spans="1:16" ht="18.75" x14ac:dyDescent="0.3">
      <c r="A44" s="1"/>
      <c r="C44" s="589"/>
      <c r="D44" s="641"/>
      <c r="E44" s="645"/>
      <c r="F44" s="535"/>
      <c r="G44" s="535" t="s">
        <v>812</v>
      </c>
      <c r="H44">
        <f>49975669-48766362</f>
        <v>1209307</v>
      </c>
      <c r="J44" s="535"/>
      <c r="O44" s="535"/>
      <c r="P44" s="535"/>
    </row>
    <row r="45" spans="1:16" ht="18.75" x14ac:dyDescent="0.3">
      <c r="A45" s="1"/>
      <c r="C45" s="589"/>
      <c r="D45" s="641"/>
      <c r="E45" s="645"/>
      <c r="F45" s="535"/>
      <c r="G45" s="535"/>
      <c r="H45" s="535"/>
      <c r="J45" s="535"/>
      <c r="O45" s="535"/>
      <c r="P45" s="535"/>
    </row>
    <row r="46" spans="1:16" ht="18.75" x14ac:dyDescent="0.3">
      <c r="A46" s="1"/>
      <c r="B46" s="585" t="s">
        <v>726</v>
      </c>
      <c r="C46" s="643">
        <f>643874701-628232900</f>
        <v>15641801</v>
      </c>
      <c r="D46" s="641"/>
      <c r="E46" s="645"/>
      <c r="F46" s="535"/>
      <c r="G46" s="535" t="s">
        <v>809</v>
      </c>
      <c r="H46" s="535">
        <f>H38+H40+H41-H67-H44</f>
        <v>-21180649</v>
      </c>
      <c r="J46" s="535"/>
      <c r="O46" s="535"/>
      <c r="P46" s="535"/>
    </row>
    <row r="47" spans="1:16" ht="18.75" x14ac:dyDescent="0.3">
      <c r="A47" s="1"/>
      <c r="B47" s="585" t="s">
        <v>720</v>
      </c>
      <c r="C47" s="575">
        <f>21472009-19798779</f>
        <v>1673230</v>
      </c>
      <c r="D47" s="641"/>
      <c r="E47" s="645"/>
      <c r="F47" s="535"/>
      <c r="G47" s="535"/>
      <c r="H47" s="535"/>
      <c r="J47" s="535"/>
      <c r="O47" s="535"/>
      <c r="P47" s="535"/>
    </row>
    <row r="48" spans="1:16" ht="18.75" x14ac:dyDescent="0.3">
      <c r="A48" s="1"/>
      <c r="B48" s="585" t="s">
        <v>729</v>
      </c>
      <c r="C48" s="575">
        <f>55612708-26328642</f>
        <v>29284066</v>
      </c>
      <c r="D48" s="641"/>
      <c r="E48" s="645"/>
      <c r="F48" s="535"/>
      <c r="G48" s="535"/>
      <c r="H48" s="535"/>
      <c r="J48" s="535"/>
      <c r="O48" s="69"/>
      <c r="P48" s="69"/>
    </row>
    <row r="49" spans="1:8" ht="18.75" x14ac:dyDescent="0.3">
      <c r="A49" s="1"/>
      <c r="B49" s="585" t="s">
        <v>730</v>
      </c>
      <c r="C49" s="575">
        <f>7979837-7379837</f>
        <v>600000</v>
      </c>
      <c r="D49" s="641"/>
      <c r="E49" s="645"/>
      <c r="F49" s="535"/>
      <c r="G49" s="535"/>
      <c r="H49" s="535"/>
    </row>
    <row r="50" spans="1:8" ht="18.75" x14ac:dyDescent="0.3">
      <c r="A50" s="1"/>
      <c r="B50" s="585"/>
      <c r="C50" s="575"/>
      <c r="D50" s="641"/>
      <c r="E50" s="645"/>
      <c r="F50" s="535"/>
      <c r="G50" s="535"/>
      <c r="H50" s="535"/>
    </row>
    <row r="51" spans="1:8" ht="18.75" x14ac:dyDescent="0.3">
      <c r="A51" s="1"/>
      <c r="B51" s="585"/>
      <c r="C51" s="575"/>
      <c r="D51" s="641"/>
      <c r="E51" s="645"/>
      <c r="F51" s="535"/>
      <c r="G51" s="535"/>
      <c r="H51" s="535"/>
    </row>
    <row r="52" spans="1:8" ht="18.75" x14ac:dyDescent="0.3">
      <c r="A52" s="1"/>
      <c r="B52" s="585"/>
      <c r="C52" s="575"/>
      <c r="D52" s="641"/>
      <c r="E52" s="645"/>
      <c r="F52" s="535"/>
      <c r="G52" s="535"/>
      <c r="H52" s="535"/>
    </row>
    <row r="53" spans="1:8" ht="18.75" x14ac:dyDescent="0.3">
      <c r="A53" s="1"/>
      <c r="B53" s="588"/>
      <c r="C53" s="589"/>
      <c r="D53" s="641"/>
      <c r="E53" s="645"/>
      <c r="F53" s="535"/>
      <c r="G53" s="535"/>
      <c r="H53" s="535"/>
    </row>
    <row r="54" spans="1:8" ht="18.75" x14ac:dyDescent="0.3">
      <c r="A54" s="1"/>
      <c r="B54" s="585" t="s">
        <v>708</v>
      </c>
      <c r="C54" s="106">
        <f>+EBITDA!$J$19</f>
        <v>-28862476.999999993</v>
      </c>
      <c r="D54" s="586"/>
      <c r="E54" s="646"/>
      <c r="F54" s="535"/>
      <c r="G54" s="535"/>
      <c r="H54" s="535"/>
    </row>
    <row r="55" spans="1:8" ht="18.75" x14ac:dyDescent="0.3">
      <c r="A55" s="1"/>
      <c r="B55" s="668"/>
      <c r="C55" s="643"/>
      <c r="E55" s="646"/>
      <c r="F55" s="535"/>
      <c r="G55" s="535"/>
      <c r="H55" s="535"/>
    </row>
    <row r="56" spans="1:8" ht="18.75" x14ac:dyDescent="0.3">
      <c r="A56" s="1"/>
      <c r="B56" s="669" t="s">
        <v>616</v>
      </c>
      <c r="C56" s="671">
        <f>$E$59-SUM(C40:C54)</f>
        <v>-127404956</v>
      </c>
      <c r="D56" s="639" t="s">
        <v>719</v>
      </c>
      <c r="E56" s="647">
        <v>0</v>
      </c>
      <c r="F56" s="535"/>
      <c r="G56" s="535"/>
      <c r="H56" s="535"/>
    </row>
    <row r="57" spans="1:8" ht="18.75" x14ac:dyDescent="0.3">
      <c r="A57" s="1"/>
      <c r="B57" s="585" t="s">
        <v>698</v>
      </c>
      <c r="C57" s="571"/>
      <c r="D57" s="586" t="s">
        <v>698</v>
      </c>
      <c r="E57" s="646"/>
      <c r="F57" s="535"/>
      <c r="G57" s="535"/>
      <c r="H57" s="535"/>
    </row>
    <row r="58" spans="1:8" ht="18.75" x14ac:dyDescent="0.3">
      <c r="A58" s="1"/>
      <c r="B58" s="670"/>
      <c r="C58" s="664"/>
      <c r="D58" s="586"/>
      <c r="E58" s="665"/>
      <c r="F58" s="69"/>
      <c r="G58" s="69"/>
      <c r="H58" s="69"/>
    </row>
    <row r="59" spans="1:8" ht="18.75" x14ac:dyDescent="0.3">
      <c r="A59" s="1"/>
      <c r="B59" s="572"/>
      <c r="C59" s="659">
        <f>E59</f>
        <v>-107770886</v>
      </c>
      <c r="D59" s="658"/>
      <c r="E59" s="658">
        <f>SUM(E40:E58)</f>
        <v>-107770886</v>
      </c>
      <c r="F59" s="76"/>
      <c r="G59" s="76"/>
      <c r="H59" s="76"/>
    </row>
    <row r="60" spans="1:8" x14ac:dyDescent="0.25">
      <c r="D60" s="239"/>
    </row>
    <row r="61" spans="1:8" ht="18.75" x14ac:dyDescent="0.3">
      <c r="A61" s="1"/>
      <c r="B61" s="31"/>
      <c r="C61" s="570"/>
      <c r="D61" s="570"/>
      <c r="E61" s="570"/>
      <c r="F61" s="47"/>
      <c r="G61" s="47"/>
      <c r="H61" s="47"/>
    </row>
    <row r="62" spans="1:8" ht="20.25" x14ac:dyDescent="0.3">
      <c r="A62" s="1" t="s">
        <v>299</v>
      </c>
      <c r="B62" s="569" t="s">
        <v>581</v>
      </c>
      <c r="C62" s="592"/>
      <c r="D62" s="570"/>
      <c r="E62" s="570"/>
      <c r="F62" s="47"/>
      <c r="G62" s="47"/>
      <c r="H62" s="47"/>
    </row>
    <row r="63" spans="1:8" ht="18.75" x14ac:dyDescent="0.3">
      <c r="A63" s="1"/>
      <c r="B63" s="570" t="s">
        <v>696</v>
      </c>
      <c r="C63" s="42" t="s">
        <v>710</v>
      </c>
      <c r="D63" s="570"/>
      <c r="E63" s="592" t="s">
        <v>728</v>
      </c>
      <c r="F63" s="42"/>
      <c r="G63" s="42"/>
      <c r="H63" s="42"/>
    </row>
    <row r="64" spans="1:8" ht="18.75" x14ac:dyDescent="0.3">
      <c r="A64" s="1"/>
      <c r="B64" s="576" t="s">
        <v>613</v>
      </c>
      <c r="C64" s="573" t="s">
        <v>612</v>
      </c>
      <c r="D64" s="574" t="s">
        <v>615</v>
      </c>
      <c r="E64" s="573" t="s">
        <v>612</v>
      </c>
      <c r="F64" s="42"/>
      <c r="G64" s="42" t="s">
        <v>810</v>
      </c>
      <c r="H64" s="42" t="s">
        <v>811</v>
      </c>
    </row>
    <row r="65" spans="1:8" ht="20.25" x14ac:dyDescent="0.3">
      <c r="A65" s="1"/>
      <c r="B65" s="661"/>
      <c r="C65" s="590"/>
      <c r="D65" s="586"/>
      <c r="E65" s="590"/>
      <c r="F65" s="42"/>
      <c r="G65" s="42"/>
      <c r="H65" s="666">
        <f>-H46</f>
        <v>21180649</v>
      </c>
    </row>
    <row r="66" spans="1:8" ht="18.75" x14ac:dyDescent="0.3">
      <c r="A66" s="1"/>
      <c r="B66" s="571"/>
      <c r="C66" s="575"/>
      <c r="D66" s="586"/>
      <c r="E66" s="575"/>
      <c r="F66" s="42"/>
      <c r="G66" s="42">
        <f>42658456-42621346</f>
        <v>37110</v>
      </c>
      <c r="H66" s="42"/>
    </row>
    <row r="67" spans="1:8" ht="18.75" x14ac:dyDescent="0.3">
      <c r="A67" s="1"/>
      <c r="B67" s="589" t="s">
        <v>801</v>
      </c>
      <c r="C67" s="500">
        <v>61419876</v>
      </c>
      <c r="D67" s="586"/>
      <c r="E67" s="575"/>
      <c r="F67" s="42"/>
      <c r="G67" s="42"/>
      <c r="H67" s="535">
        <f>16605522-9766712</f>
        <v>6838810</v>
      </c>
    </row>
    <row r="68" spans="1:8" ht="18.75" x14ac:dyDescent="0.3">
      <c r="A68" s="1"/>
      <c r="B68" s="589"/>
      <c r="C68" s="589"/>
      <c r="D68" s="541" t="s">
        <v>722</v>
      </c>
      <c r="E68" s="575">
        <f>21502182-20664843</f>
        <v>837339</v>
      </c>
      <c r="F68" s="42"/>
      <c r="G68" s="666">
        <f>-D29</f>
        <v>29026349</v>
      </c>
      <c r="H68" s="42"/>
    </row>
    <row r="69" spans="1:8" ht="18.75" x14ac:dyDescent="0.3">
      <c r="A69" s="1"/>
      <c r="B69" s="571" t="s">
        <v>721</v>
      </c>
      <c r="C69" s="575">
        <f>42658456-42621346</f>
        <v>37110</v>
      </c>
      <c r="D69" s="541" t="s">
        <v>802</v>
      </c>
      <c r="E69" s="575">
        <v>29284066</v>
      </c>
      <c r="F69" s="42"/>
      <c r="G69" s="42"/>
      <c r="H69" s="42">
        <f>21502182-20664843</f>
        <v>837339</v>
      </c>
    </row>
    <row r="70" spans="1:8" ht="18.75" x14ac:dyDescent="0.3">
      <c r="A70" s="1"/>
      <c r="B70" s="589"/>
      <c r="C70" s="575"/>
      <c r="D70" s="641" t="s">
        <v>723</v>
      </c>
      <c r="E70" s="575">
        <f>69267710-55952059</f>
        <v>13315651</v>
      </c>
      <c r="F70" s="42"/>
      <c r="G70" s="42"/>
      <c r="H70" s="42"/>
    </row>
    <row r="71" spans="1:8" ht="18.75" x14ac:dyDescent="0.3">
      <c r="A71" s="1"/>
      <c r="B71" s="589" t="s">
        <v>803</v>
      </c>
      <c r="C71" s="575">
        <v>1209307</v>
      </c>
      <c r="D71" s="643" t="s">
        <v>725</v>
      </c>
      <c r="E71" s="652">
        <f>11479954-7206799</f>
        <v>4273155</v>
      </c>
      <c r="F71" s="42"/>
      <c r="G71" s="42"/>
      <c r="H71" s="42">
        <f>69267710-55952059</f>
        <v>13315651</v>
      </c>
    </row>
    <row r="72" spans="1:8" ht="18.75" x14ac:dyDescent="0.3">
      <c r="A72" s="1"/>
      <c r="B72" s="589"/>
      <c r="C72" s="575"/>
      <c r="D72" s="641"/>
      <c r="E72" s="575"/>
      <c r="F72" s="42"/>
      <c r="G72" s="42"/>
      <c r="H72" s="42"/>
    </row>
    <row r="73" spans="1:8" ht="18.75" x14ac:dyDescent="0.3">
      <c r="A73" s="1"/>
      <c r="B73" s="571"/>
      <c r="C73" s="575"/>
      <c r="E73" s="575"/>
      <c r="F73" s="42"/>
      <c r="H73">
        <f>11479954-7206799</f>
        <v>4273155</v>
      </c>
    </row>
    <row r="74" spans="1:8" ht="18.75" x14ac:dyDescent="0.3">
      <c r="A74" s="1"/>
      <c r="B74" s="571"/>
      <c r="C74" s="575"/>
      <c r="D74" s="575"/>
      <c r="E74" s="652"/>
      <c r="F74" s="42"/>
    </row>
    <row r="75" spans="1:8" ht="18.75" x14ac:dyDescent="0.3">
      <c r="A75" s="1"/>
      <c r="B75" s="571"/>
      <c r="C75" s="589"/>
      <c r="F75" s="42"/>
      <c r="G75" s="42">
        <f>SUM(G66:G72)</f>
        <v>29063459</v>
      </c>
      <c r="H75" s="666">
        <f>SUM(H65:H73)</f>
        <v>46445604</v>
      </c>
    </row>
    <row r="76" spans="1:8" ht="18.75" x14ac:dyDescent="0.3">
      <c r="A76" s="1"/>
      <c r="B76" s="571"/>
      <c r="C76" s="589"/>
      <c r="F76" s="42"/>
      <c r="G76" s="42"/>
      <c r="H76" s="42"/>
    </row>
    <row r="77" spans="1:8" ht="18.75" x14ac:dyDescent="0.3">
      <c r="A77" s="1"/>
      <c r="B77" s="571"/>
      <c r="C77" s="575"/>
      <c r="D77" s="575"/>
      <c r="E77" s="589"/>
      <c r="F77" s="42"/>
      <c r="G77" s="666"/>
      <c r="H77" s="666">
        <f>H75-G75</f>
        <v>17382145</v>
      </c>
    </row>
    <row r="78" spans="1:8" ht="18.75" x14ac:dyDescent="0.3">
      <c r="A78" s="1"/>
      <c r="B78" s="571" t="s">
        <v>699</v>
      </c>
      <c r="C78" s="589"/>
      <c r="D78" s="541"/>
      <c r="E78" s="575"/>
      <c r="F78" s="666"/>
      <c r="G78" s="666"/>
      <c r="H78" s="666"/>
    </row>
    <row r="79" spans="1:8" ht="18.75" x14ac:dyDescent="0.3">
      <c r="A79" s="1"/>
      <c r="B79" s="589"/>
      <c r="C79" s="650"/>
      <c r="E79" s="575"/>
      <c r="F79" s="42"/>
      <c r="G79" s="42"/>
      <c r="H79" s="42"/>
    </row>
    <row r="80" spans="1:8" ht="18.75" x14ac:dyDescent="0.3">
      <c r="A80" s="1"/>
      <c r="B80" s="571" t="s">
        <v>701</v>
      </c>
      <c r="C80" s="649"/>
      <c r="D80" s="541" t="s">
        <v>702</v>
      </c>
      <c r="E80" s="575">
        <f>-+D29</f>
        <v>29026349</v>
      </c>
      <c r="F80" s="42"/>
      <c r="G80" s="42"/>
      <c r="H80" s="42"/>
    </row>
    <row r="81" spans="1:8" ht="18.75" x14ac:dyDescent="0.3">
      <c r="A81" s="1"/>
      <c r="B81" s="662"/>
      <c r="C81" s="591"/>
      <c r="D81" s="541"/>
      <c r="E81" s="575"/>
      <c r="F81" s="42"/>
      <c r="G81" s="42"/>
      <c r="H81" s="42"/>
    </row>
    <row r="82" spans="1:8" ht="20.25" x14ac:dyDescent="0.3">
      <c r="A82" s="1"/>
      <c r="B82" s="577"/>
      <c r="C82" s="578">
        <f>SUM(C65:C81)</f>
        <v>62666293</v>
      </c>
      <c r="D82" s="579"/>
      <c r="E82" s="578">
        <f>SUM(E65:E81)</f>
        <v>76736560</v>
      </c>
      <c r="F82" s="42"/>
      <c r="G82" s="42"/>
      <c r="H82" s="42"/>
    </row>
    <row r="83" spans="1:8" ht="18.75" x14ac:dyDescent="0.3">
      <c r="A83" s="1"/>
      <c r="E83" s="582">
        <f>C82-E82</f>
        <v>-14070267</v>
      </c>
      <c r="F83" s="42"/>
      <c r="G83" s="42"/>
      <c r="H83" s="42"/>
    </row>
    <row r="84" spans="1:8" ht="18.75" x14ac:dyDescent="0.3">
      <c r="A84" s="1"/>
      <c r="B84" s="212" t="s">
        <v>598</v>
      </c>
      <c r="C84" s="570"/>
      <c r="D84" s="570"/>
      <c r="E84" s="570"/>
      <c r="F84" s="42"/>
      <c r="G84" s="42"/>
      <c r="H84" s="42"/>
    </row>
    <row r="85" spans="1:8" ht="18.75" x14ac:dyDescent="0.3">
      <c r="A85" s="1"/>
      <c r="B85" s="42" t="s">
        <v>599</v>
      </c>
      <c r="C85" s="42"/>
      <c r="D85" s="42"/>
      <c r="E85" s="42"/>
      <c r="F85" s="42"/>
      <c r="G85" s="42"/>
      <c r="H85" s="42"/>
    </row>
    <row r="86" spans="1:8" ht="18.75" x14ac:dyDescent="0.3">
      <c r="A86" s="1"/>
      <c r="B86" s="42" t="s">
        <v>624</v>
      </c>
      <c r="C86" s="42"/>
      <c r="D86" s="42"/>
      <c r="E86" s="42"/>
      <c r="F86" s="42"/>
      <c r="G86" s="42"/>
      <c r="H86" s="42"/>
    </row>
    <row r="87" spans="1:8" ht="18.75" x14ac:dyDescent="0.3">
      <c r="A87" s="1"/>
      <c r="B87" s="42" t="s">
        <v>625</v>
      </c>
      <c r="C87" s="42"/>
      <c r="D87" s="42"/>
      <c r="E87" s="42"/>
      <c r="F87" s="42"/>
      <c r="G87" s="42"/>
      <c r="H87" s="42"/>
    </row>
    <row r="88" spans="1:8" ht="18.75" x14ac:dyDescent="0.3">
      <c r="A88" s="1"/>
      <c r="B88" s="42" t="s">
        <v>600</v>
      </c>
      <c r="C88" s="42"/>
      <c r="D88" s="42"/>
      <c r="E88" s="42"/>
      <c r="F88" s="42"/>
      <c r="G88" s="42"/>
      <c r="H88" s="42"/>
    </row>
    <row r="89" spans="1:8" ht="18.75" x14ac:dyDescent="0.3">
      <c r="A89" s="1"/>
      <c r="B89" s="42" t="s">
        <v>601</v>
      </c>
      <c r="C89" s="42"/>
      <c r="D89" s="42"/>
      <c r="E89" s="42"/>
      <c r="F89" s="42"/>
      <c r="G89" s="42"/>
      <c r="H89" s="42"/>
    </row>
    <row r="90" spans="1:8" ht="18.75" x14ac:dyDescent="0.3">
      <c r="A90" s="1"/>
      <c r="B90" s="42"/>
      <c r="C90" s="42"/>
      <c r="D90" s="42"/>
      <c r="E90" s="42"/>
      <c r="F90" s="42"/>
      <c r="G90" s="42"/>
      <c r="H90" s="42"/>
    </row>
    <row r="91" spans="1:8" ht="18.75" x14ac:dyDescent="0.3">
      <c r="A91" s="1"/>
      <c r="B91" s="42" t="s">
        <v>626</v>
      </c>
      <c r="C91" s="42"/>
      <c r="D91" s="42"/>
      <c r="E91" s="42"/>
      <c r="F91" s="42"/>
      <c r="G91" s="42"/>
      <c r="H91" s="42"/>
    </row>
    <row r="92" spans="1:8" ht="18.75" x14ac:dyDescent="0.3">
      <c r="A92" s="1"/>
      <c r="B92" s="42" t="s">
        <v>602</v>
      </c>
      <c r="C92" s="42"/>
      <c r="D92" s="42"/>
      <c r="E92" s="42"/>
      <c r="F92" s="42"/>
      <c r="G92" s="42"/>
      <c r="H92" s="42"/>
    </row>
    <row r="93" spans="1:8" ht="18.75" x14ac:dyDescent="0.3">
      <c r="A93" s="1"/>
      <c r="B93" s="42"/>
      <c r="C93" s="42"/>
      <c r="D93" s="42"/>
      <c r="E93" s="42"/>
      <c r="F93" s="42"/>
      <c r="G93" s="42"/>
      <c r="H93" s="42"/>
    </row>
    <row r="94" spans="1:8" ht="18.75" x14ac:dyDescent="0.3">
      <c r="A94" s="1"/>
      <c r="B94" s="50" t="s">
        <v>603</v>
      </c>
      <c r="C94" s="42"/>
      <c r="D94" s="42"/>
      <c r="E94" s="42"/>
      <c r="F94" s="42"/>
      <c r="G94" s="42"/>
      <c r="H94" s="42"/>
    </row>
    <row r="95" spans="1:8" ht="18.75" x14ac:dyDescent="0.3">
      <c r="A95" s="1"/>
      <c r="B95" s="42" t="s">
        <v>604</v>
      </c>
      <c r="C95" s="42"/>
      <c r="D95" s="42"/>
      <c r="E95" s="42"/>
      <c r="F95" s="42"/>
      <c r="G95" s="42"/>
      <c r="H95" s="42"/>
    </row>
    <row r="96" spans="1:8" ht="18.75" x14ac:dyDescent="0.3">
      <c r="A96" s="1"/>
      <c r="B96" s="42" t="s">
        <v>605</v>
      </c>
      <c r="C96" s="42"/>
      <c r="D96" s="42"/>
      <c r="E96" s="42"/>
      <c r="F96" s="42"/>
      <c r="G96" s="42"/>
      <c r="H96" s="42"/>
    </row>
    <row r="97" spans="1:8" ht="18.75" x14ac:dyDescent="0.3">
      <c r="A97" s="1"/>
      <c r="B97" s="42" t="s">
        <v>622</v>
      </c>
      <c r="C97" s="42"/>
      <c r="D97" s="42"/>
      <c r="E97" s="42"/>
      <c r="F97" s="42"/>
      <c r="G97" s="42"/>
      <c r="H97" s="42"/>
    </row>
    <row r="98" spans="1:8" ht="18.75" x14ac:dyDescent="0.3">
      <c r="A98" s="1"/>
      <c r="B98" s="42" t="s">
        <v>606</v>
      </c>
      <c r="C98" s="42"/>
      <c r="D98" s="42"/>
      <c r="E98" s="42"/>
      <c r="F98" s="42"/>
      <c r="G98" s="42"/>
      <c r="H98" s="42"/>
    </row>
    <row r="99" spans="1:8" ht="18.75" x14ac:dyDescent="0.3">
      <c r="A99" s="1"/>
      <c r="B99" s="42" t="s">
        <v>607</v>
      </c>
      <c r="C99" s="42"/>
      <c r="D99" s="42"/>
      <c r="E99" s="42"/>
      <c r="F99" s="42"/>
      <c r="G99" s="42"/>
      <c r="H99" s="42"/>
    </row>
    <row r="100" spans="1:8" ht="18.75" x14ac:dyDescent="0.3">
      <c r="A100" s="1"/>
      <c r="B100" s="42" t="s">
        <v>627</v>
      </c>
      <c r="C100" s="42"/>
      <c r="D100" s="42"/>
      <c r="E100" s="42"/>
      <c r="F100" s="42"/>
      <c r="G100" s="42"/>
      <c r="H100" s="42"/>
    </row>
    <row r="101" spans="1:8" ht="18.75" x14ac:dyDescent="0.3">
      <c r="A101" s="1"/>
      <c r="B101" s="42" t="s">
        <v>623</v>
      </c>
      <c r="C101" s="42"/>
      <c r="D101" s="42"/>
      <c r="E101" s="42"/>
      <c r="F101" s="42"/>
      <c r="G101" s="42"/>
      <c r="H101" s="42"/>
    </row>
    <row r="102" spans="1:8" ht="18.75" x14ac:dyDescent="0.3">
      <c r="A102" s="1"/>
      <c r="B102" s="42" t="s">
        <v>608</v>
      </c>
      <c r="C102" s="42"/>
      <c r="D102" s="42"/>
      <c r="E102" s="42"/>
      <c r="F102" s="42"/>
      <c r="G102" s="42"/>
      <c r="H102" s="42"/>
    </row>
    <row r="103" spans="1:8" ht="18.75" x14ac:dyDescent="0.3">
      <c r="A103" s="1"/>
      <c r="B103" s="42"/>
      <c r="C103" s="42"/>
      <c r="D103" s="42"/>
      <c r="E103" s="42"/>
      <c r="F103" s="42"/>
      <c r="G103" s="42"/>
      <c r="H103" s="42"/>
    </row>
    <row r="175" spans="1:8" ht="18.75" x14ac:dyDescent="0.3">
      <c r="A175" s="1"/>
      <c r="B175" s="42"/>
      <c r="C175" s="42"/>
      <c r="D175" s="42"/>
      <c r="E175" s="42"/>
      <c r="F175" s="42"/>
      <c r="G175" s="42"/>
      <c r="H175" s="42"/>
    </row>
  </sheetData>
  <mergeCells count="1">
    <mergeCell ref="E29:F29"/>
  </mergeCells>
  <hyperlinks>
    <hyperlink ref="B1" location="Index!A1" display="Home Index (click here)" xr:uid="{1B6C7275-7B26-4510-8150-53B881AC5234}"/>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8EDDCA-0398-4EC9-A707-7E5BD1C017F9}">
  <dimension ref="A2:M68"/>
  <sheetViews>
    <sheetView topLeftCell="A3" workbookViewId="0">
      <selection activeCell="K18" sqref="K18"/>
    </sheetView>
  </sheetViews>
  <sheetFormatPr defaultRowHeight="15.75" x14ac:dyDescent="0.25"/>
  <cols>
    <col min="1" max="1" width="8.140625" customWidth="1"/>
    <col min="2" max="2" width="24.7109375" customWidth="1"/>
    <col min="3" max="3" width="15.5703125" bestFit="1" customWidth="1"/>
    <col min="4" max="4" width="15.140625" customWidth="1"/>
    <col min="5" max="5" width="17.140625" customWidth="1"/>
    <col min="6" max="6" width="12.28515625" bestFit="1" customWidth="1"/>
    <col min="7" max="7" width="5.140625" customWidth="1"/>
  </cols>
  <sheetData>
    <row r="2" spans="2:13" ht="18.75" x14ac:dyDescent="0.3">
      <c r="B2" s="795" t="s">
        <v>761</v>
      </c>
      <c r="C2" s="796"/>
      <c r="D2" s="796"/>
      <c r="E2" s="796"/>
      <c r="F2" s="797"/>
    </row>
    <row r="3" spans="2:13" ht="18.75" x14ac:dyDescent="0.3">
      <c r="B3" s="696"/>
      <c r="C3" s="696"/>
      <c r="D3" s="696"/>
      <c r="E3" s="696"/>
      <c r="F3" s="696"/>
    </row>
    <row r="4" spans="2:13" x14ac:dyDescent="0.25">
      <c r="B4" s="695" t="s">
        <v>741</v>
      </c>
      <c r="C4" s="697"/>
      <c r="H4" s="692" t="s">
        <v>947</v>
      </c>
      <c r="I4" s="681"/>
      <c r="J4" s="681"/>
      <c r="K4" s="681"/>
      <c r="L4" s="681"/>
      <c r="M4" s="681"/>
    </row>
    <row r="5" spans="2:13" x14ac:dyDescent="0.25">
      <c r="B5" s="676" t="s">
        <v>759</v>
      </c>
      <c r="C5" s="309"/>
      <c r="D5" s="308"/>
      <c r="E5" s="308" t="s">
        <v>760</v>
      </c>
      <c r="F5" s="309"/>
      <c r="H5" s="692"/>
      <c r="I5" s="681"/>
      <c r="J5" s="681"/>
      <c r="K5" s="681"/>
      <c r="L5" s="681"/>
      <c r="M5" s="681"/>
    </row>
    <row r="6" spans="2:13" x14ac:dyDescent="0.25">
      <c r="B6" s="677"/>
      <c r="C6" s="678"/>
      <c r="D6" s="677"/>
      <c r="E6" s="679"/>
      <c r="F6" s="678"/>
      <c r="H6" s="681" t="s">
        <v>758</v>
      </c>
      <c r="I6" s="681"/>
      <c r="J6" s="681"/>
      <c r="K6" s="681"/>
      <c r="L6" s="681"/>
      <c r="M6" s="681"/>
    </row>
    <row r="7" spans="2:13" x14ac:dyDescent="0.25">
      <c r="B7" s="588"/>
      <c r="C7" s="648"/>
      <c r="D7" s="588"/>
      <c r="F7" s="648"/>
      <c r="H7" s="681" t="s">
        <v>780</v>
      </c>
      <c r="I7" s="681"/>
      <c r="J7" s="681"/>
      <c r="K7" s="681"/>
      <c r="L7" s="681"/>
      <c r="M7" s="681"/>
    </row>
    <row r="8" spans="2:13" x14ac:dyDescent="0.25">
      <c r="B8" s="588" t="s">
        <v>742</v>
      </c>
      <c r="C8" s="685"/>
      <c r="D8" t="s">
        <v>743</v>
      </c>
      <c r="F8" s="648"/>
      <c r="H8" s="681"/>
      <c r="I8" s="681"/>
      <c r="J8" s="681"/>
      <c r="K8" s="681"/>
      <c r="L8" s="681"/>
      <c r="M8" s="681"/>
    </row>
    <row r="9" spans="2:13" x14ac:dyDescent="0.25">
      <c r="B9" s="588"/>
      <c r="C9" s="648"/>
      <c r="D9" s="588"/>
      <c r="F9" s="648"/>
      <c r="H9" s="681" t="s">
        <v>772</v>
      </c>
      <c r="I9" s="681"/>
      <c r="J9" s="681"/>
      <c r="K9" s="681"/>
      <c r="L9" s="681"/>
      <c r="M9" s="681"/>
    </row>
    <row r="10" spans="2:13" x14ac:dyDescent="0.25">
      <c r="B10" s="588"/>
      <c r="C10" s="648"/>
      <c r="D10" s="670"/>
      <c r="E10" s="303"/>
      <c r="F10" s="680"/>
      <c r="H10" s="681" t="s">
        <v>781</v>
      </c>
      <c r="I10" s="681"/>
      <c r="J10" s="681"/>
      <c r="K10" s="681"/>
      <c r="L10" s="681"/>
      <c r="M10" s="681"/>
    </row>
    <row r="11" spans="2:13" x14ac:dyDescent="0.25">
      <c r="B11" s="588"/>
      <c r="C11" s="648"/>
      <c r="D11" s="677" t="s">
        <v>744</v>
      </c>
      <c r="E11" s="679"/>
      <c r="F11" s="678"/>
      <c r="H11" s="681"/>
      <c r="I11" s="681"/>
      <c r="J11" s="681"/>
      <c r="K11" s="681"/>
      <c r="L11" s="681"/>
      <c r="M11" s="681"/>
    </row>
    <row r="12" spans="2:13" x14ac:dyDescent="0.25">
      <c r="B12" s="588"/>
      <c r="C12" s="648"/>
      <c r="D12" s="588" t="s">
        <v>745</v>
      </c>
      <c r="F12" s="648"/>
      <c r="H12" s="681" t="s">
        <v>755</v>
      </c>
      <c r="I12" s="681"/>
      <c r="J12" s="681"/>
      <c r="K12" s="681"/>
      <c r="L12" s="681"/>
      <c r="M12" s="681"/>
    </row>
    <row r="13" spans="2:13" x14ac:dyDescent="0.25">
      <c r="B13" s="670"/>
      <c r="C13" s="680"/>
      <c r="D13" s="670" t="s">
        <v>746</v>
      </c>
      <c r="E13" s="303"/>
      <c r="F13" s="706" t="s">
        <v>747</v>
      </c>
      <c r="H13" s="681"/>
      <c r="I13" s="681"/>
      <c r="J13" s="681"/>
      <c r="K13" s="681"/>
      <c r="L13" s="681"/>
      <c r="M13" s="681"/>
    </row>
    <row r="14" spans="2:13" x14ac:dyDescent="0.25">
      <c r="H14" s="681" t="s">
        <v>782</v>
      </c>
      <c r="I14" s="681"/>
      <c r="J14" s="681"/>
      <c r="K14" s="681"/>
      <c r="L14" s="681"/>
      <c r="M14" s="681"/>
    </row>
    <row r="15" spans="2:13" ht="18.75" x14ac:dyDescent="0.3">
      <c r="B15" s="703" t="s">
        <v>748</v>
      </c>
      <c r="C15" s="702" t="s">
        <v>948</v>
      </c>
      <c r="H15" s="681" t="s">
        <v>783</v>
      </c>
      <c r="I15" s="681"/>
      <c r="J15" s="681"/>
      <c r="K15" s="681"/>
      <c r="L15" s="681"/>
      <c r="M15" s="681"/>
    </row>
    <row r="16" spans="2:13" x14ac:dyDescent="0.25">
      <c r="B16" s="676" t="s">
        <v>759</v>
      </c>
      <c r="C16" s="309"/>
      <c r="D16" s="308"/>
      <c r="E16" s="308" t="s">
        <v>760</v>
      </c>
      <c r="F16" s="309"/>
      <c r="H16" s="681" t="s">
        <v>762</v>
      </c>
      <c r="I16" s="681"/>
      <c r="J16" s="681"/>
      <c r="K16" s="681"/>
      <c r="L16" s="681"/>
      <c r="M16" s="681"/>
    </row>
    <row r="17" spans="1:13" x14ac:dyDescent="0.25">
      <c r="B17" s="677"/>
      <c r="C17" s="678"/>
      <c r="D17" s="677"/>
      <c r="E17" s="679"/>
      <c r="F17" s="678"/>
      <c r="H17" s="681" t="s">
        <v>740</v>
      </c>
      <c r="I17" s="681"/>
      <c r="J17" s="681"/>
      <c r="K17" s="681"/>
      <c r="L17" s="681"/>
      <c r="M17" s="681"/>
    </row>
    <row r="18" spans="1:13" x14ac:dyDescent="0.25">
      <c r="B18" s="588"/>
      <c r="C18" s="648"/>
      <c r="D18" s="588"/>
      <c r="F18" s="648"/>
      <c r="H18" s="681"/>
      <c r="I18" s="681"/>
      <c r="J18" s="681"/>
      <c r="K18" s="681"/>
      <c r="L18" s="681"/>
      <c r="M18" s="681"/>
    </row>
    <row r="19" spans="1:13" x14ac:dyDescent="0.25">
      <c r="B19" s="588" t="s">
        <v>742</v>
      </c>
      <c r="C19" s="686">
        <f>+C28</f>
        <v>617080756</v>
      </c>
      <c r="D19" s="588" t="s">
        <v>743</v>
      </c>
      <c r="F19" s="686">
        <f>+C30</f>
        <v>709930582.08000016</v>
      </c>
      <c r="H19" s="681" t="s">
        <v>769</v>
      </c>
      <c r="I19" s="681"/>
      <c r="J19" s="681"/>
      <c r="K19" s="681"/>
      <c r="L19" s="681"/>
      <c r="M19" s="681"/>
    </row>
    <row r="20" spans="1:13" x14ac:dyDescent="0.25">
      <c r="B20" s="588"/>
      <c r="C20" s="648"/>
      <c r="D20" s="588"/>
      <c r="F20" s="648"/>
      <c r="H20" s="681" t="s">
        <v>770</v>
      </c>
      <c r="I20" s="681"/>
      <c r="J20" s="681"/>
      <c r="K20" s="681"/>
      <c r="L20" s="681"/>
      <c r="M20" s="681"/>
    </row>
    <row r="21" spans="1:13" x14ac:dyDescent="0.25">
      <c r="B21" s="670"/>
      <c r="C21" s="680"/>
      <c r="D21" s="588"/>
      <c r="F21" s="648"/>
      <c r="H21" s="681" t="s">
        <v>784</v>
      </c>
      <c r="I21" s="681"/>
      <c r="J21" s="681"/>
      <c r="K21" s="681"/>
      <c r="L21" s="681"/>
      <c r="M21" s="681"/>
    </row>
    <row r="22" spans="1:13" x14ac:dyDescent="0.25">
      <c r="B22" s="588" t="s">
        <v>749</v>
      </c>
      <c r="C22" s="648"/>
      <c r="D22" s="588"/>
      <c r="F22" s="648"/>
      <c r="H22" s="681" t="s">
        <v>771</v>
      </c>
      <c r="I22" s="681"/>
      <c r="J22" s="681"/>
      <c r="K22" s="681"/>
      <c r="L22" s="681"/>
      <c r="M22" s="681"/>
    </row>
    <row r="23" spans="1:13" x14ac:dyDescent="0.25">
      <c r="B23" s="588" t="s">
        <v>750</v>
      </c>
      <c r="C23" s="704">
        <f>+C40</f>
        <v>92849825</v>
      </c>
      <c r="D23" s="588"/>
      <c r="F23" s="648"/>
      <c r="H23" s="681"/>
      <c r="I23" s="681"/>
      <c r="J23" s="681"/>
      <c r="K23" s="681"/>
      <c r="L23" s="681"/>
      <c r="M23" s="681"/>
    </row>
    <row r="24" spans="1:13" x14ac:dyDescent="0.25">
      <c r="B24" s="670" t="s">
        <v>752</v>
      </c>
      <c r="C24" s="694" t="s">
        <v>751</v>
      </c>
      <c r="D24" s="670"/>
      <c r="E24" s="303"/>
      <c r="F24" s="680"/>
      <c r="H24" s="681" t="s">
        <v>785</v>
      </c>
      <c r="I24" s="681"/>
      <c r="J24" s="681"/>
      <c r="K24" s="681"/>
      <c r="L24" s="681"/>
      <c r="M24" s="681"/>
    </row>
    <row r="25" spans="1:13" x14ac:dyDescent="0.25">
      <c r="A25" s="42"/>
      <c r="B25" s="42"/>
      <c r="C25" s="42"/>
      <c r="D25" s="42"/>
      <c r="E25" s="42"/>
      <c r="F25" s="42"/>
      <c r="G25" s="42"/>
      <c r="H25" s="681" t="s">
        <v>786</v>
      </c>
      <c r="I25" s="681"/>
      <c r="J25" s="681"/>
      <c r="K25" s="681"/>
      <c r="L25" s="681"/>
      <c r="M25" s="681"/>
    </row>
    <row r="26" spans="1:13" ht="16.5" thickBot="1" x14ac:dyDescent="0.3">
      <c r="A26" s="42"/>
      <c r="B26" s="42"/>
      <c r="C26" s="42"/>
      <c r="D26" s="42"/>
      <c r="E26" s="42"/>
      <c r="F26" s="42"/>
      <c r="G26" s="42"/>
      <c r="H26" s="681"/>
      <c r="I26" s="681"/>
      <c r="J26" s="681"/>
      <c r="K26" s="681"/>
      <c r="L26" s="681"/>
      <c r="M26" s="681"/>
    </row>
    <row r="27" spans="1:13" ht="16.5" thickBot="1" x14ac:dyDescent="0.3">
      <c r="B27" s="683" t="s">
        <v>736</v>
      </c>
      <c r="C27" s="684"/>
      <c r="D27" s="681"/>
      <c r="E27" s="681"/>
      <c r="F27" s="681"/>
      <c r="G27" s="681"/>
      <c r="H27" s="681"/>
      <c r="I27" s="681"/>
      <c r="J27" s="681"/>
      <c r="K27" s="681"/>
      <c r="L27" s="681"/>
      <c r="M27" s="681"/>
    </row>
    <row r="28" spans="1:13" ht="20.25" x14ac:dyDescent="0.55000000000000004">
      <c r="B28" s="681" t="s">
        <v>753</v>
      </c>
      <c r="C28" s="681">
        <f>+'FS with Schedules'!J142+'FS with Schedules'!J129</f>
        <v>617080756</v>
      </c>
      <c r="D28" s="681"/>
      <c r="E28" s="681"/>
      <c r="F28" s="681"/>
      <c r="G28" s="681"/>
      <c r="H28" s="693" t="s">
        <v>756</v>
      </c>
      <c r="I28" s="681"/>
      <c r="J28" s="681"/>
      <c r="K28" s="681"/>
      <c r="L28" s="681"/>
      <c r="M28" s="681"/>
    </row>
    <row r="29" spans="1:13" x14ac:dyDescent="0.25">
      <c r="B29" s="714"/>
      <c r="C29" s="681"/>
      <c r="D29" s="681"/>
      <c r="E29" s="681"/>
      <c r="F29" s="681"/>
      <c r="G29" s="681"/>
      <c r="H29" s="691" t="s">
        <v>949</v>
      </c>
      <c r="I29" s="681"/>
      <c r="J29" s="681"/>
      <c r="K29" s="681"/>
      <c r="L29" s="681"/>
      <c r="M29" s="681"/>
    </row>
    <row r="30" spans="1:13" x14ac:dyDescent="0.25">
      <c r="B30" s="681" t="s">
        <v>754</v>
      </c>
      <c r="C30" s="681">
        <f>+'FS with Schedules'!J91</f>
        <v>709930582.08000016</v>
      </c>
      <c r="D30" s="681"/>
      <c r="E30" s="681"/>
      <c r="F30" s="681"/>
      <c r="G30" s="681"/>
      <c r="H30" s="681" t="s">
        <v>757</v>
      </c>
      <c r="I30" s="681"/>
      <c r="J30" s="681"/>
      <c r="K30" s="681"/>
      <c r="L30" s="681"/>
      <c r="M30" s="681"/>
    </row>
    <row r="31" spans="1:13" x14ac:dyDescent="0.25">
      <c r="B31" s="681"/>
      <c r="C31" s="681"/>
      <c r="D31" s="681"/>
      <c r="E31" s="681"/>
      <c r="F31" s="681"/>
      <c r="G31" s="681"/>
      <c r="H31" s="681" t="s">
        <v>765</v>
      </c>
      <c r="I31" s="681"/>
      <c r="J31" s="681"/>
      <c r="K31" s="681"/>
      <c r="L31" s="681"/>
      <c r="M31" s="681"/>
    </row>
    <row r="32" spans="1:13" x14ac:dyDescent="0.25">
      <c r="B32" s="687" t="s">
        <v>737</v>
      </c>
      <c r="C32" s="688">
        <f>C28-C30</f>
        <v>-92849826.080000162</v>
      </c>
      <c r="D32" s="681"/>
      <c r="E32" s="681"/>
      <c r="F32" s="681"/>
      <c r="G32" s="681"/>
      <c r="H32" s="681"/>
      <c r="I32" s="681"/>
      <c r="J32" s="681"/>
      <c r="K32" s="681"/>
      <c r="L32" s="681"/>
      <c r="M32" s="681"/>
    </row>
    <row r="33" spans="1:13" x14ac:dyDescent="0.25">
      <c r="B33" s="681"/>
      <c r="C33" s="681"/>
      <c r="D33" s="681"/>
      <c r="E33" s="681"/>
      <c r="F33" s="681"/>
      <c r="G33" s="681"/>
      <c r="H33" s="681" t="s">
        <v>779</v>
      </c>
      <c r="I33" s="681"/>
      <c r="J33" s="681"/>
      <c r="K33" s="681"/>
      <c r="L33" s="681"/>
      <c r="M33" s="681"/>
    </row>
    <row r="34" spans="1:13" ht="16.5" thickBot="1" x14ac:dyDescent="0.3">
      <c r="B34" s="681"/>
      <c r="C34" s="681"/>
      <c r="D34" s="681"/>
      <c r="E34" s="681"/>
      <c r="F34" s="681"/>
      <c r="G34" s="681"/>
      <c r="H34" s="681"/>
      <c r="I34" s="681"/>
      <c r="J34" s="681"/>
      <c r="K34" s="681"/>
      <c r="L34" s="681"/>
      <c r="M34" s="681"/>
    </row>
    <row r="35" spans="1:13" ht="16.5" thickBot="1" x14ac:dyDescent="0.3">
      <c r="B35" s="683" t="s">
        <v>738</v>
      </c>
      <c r="C35" s="682"/>
      <c r="D35" s="681"/>
      <c r="E35" s="691" t="s">
        <v>777</v>
      </c>
      <c r="F35" s="681"/>
      <c r="G35" s="681"/>
      <c r="H35" s="681" t="s">
        <v>787</v>
      </c>
      <c r="I35" s="681"/>
      <c r="J35" s="681"/>
      <c r="K35" s="681"/>
      <c r="L35" s="681"/>
      <c r="M35" s="681"/>
    </row>
    <row r="36" spans="1:13" x14ac:dyDescent="0.25">
      <c r="B36" s="681" t="s">
        <v>798</v>
      </c>
      <c r="C36" s="681">
        <f>+'FS with Schedules'!J166</f>
        <v>473617573</v>
      </c>
      <c r="D36" s="681"/>
      <c r="E36" s="691" t="s">
        <v>778</v>
      </c>
      <c r="F36" s="681"/>
      <c r="G36" s="681"/>
      <c r="H36" s="681" t="s">
        <v>788</v>
      </c>
    </row>
    <row r="37" spans="1:13" x14ac:dyDescent="0.25">
      <c r="B37" s="715" t="s">
        <v>751</v>
      </c>
      <c r="C37" s="681"/>
      <c r="D37" s="681"/>
      <c r="E37" s="681"/>
      <c r="F37" s="681"/>
      <c r="G37" s="681"/>
    </row>
    <row r="38" spans="1:13" x14ac:dyDescent="0.25">
      <c r="B38" s="681" t="s">
        <v>799</v>
      </c>
      <c r="C38" s="681">
        <f>+'FS with Schedules'!J120</f>
        <v>380767748</v>
      </c>
      <c r="D38" s="681"/>
      <c r="E38" s="681"/>
      <c r="F38" s="681"/>
      <c r="G38" s="681"/>
    </row>
    <row r="39" spans="1:13" x14ac:dyDescent="0.25">
      <c r="B39" s="681"/>
      <c r="C39" s="681"/>
      <c r="D39" s="681"/>
      <c r="E39" s="681"/>
      <c r="F39" s="681"/>
      <c r="G39" s="681"/>
    </row>
    <row r="40" spans="1:13" x14ac:dyDescent="0.25">
      <c r="B40" s="689" t="s">
        <v>739</v>
      </c>
      <c r="C40" s="690">
        <f>C36-C38</f>
        <v>92849825</v>
      </c>
      <c r="D40" s="681"/>
      <c r="E40" s="681"/>
      <c r="F40" s="681"/>
      <c r="G40" s="681"/>
    </row>
    <row r="41" spans="1:13" x14ac:dyDescent="0.25">
      <c r="A41" s="681"/>
      <c r="B41" s="681"/>
      <c r="C41" s="681"/>
      <c r="D41" s="681"/>
      <c r="E41" s="681"/>
      <c r="F41" s="681"/>
      <c r="G41" s="681"/>
    </row>
    <row r="42" spans="1:13" ht="20.25" x14ac:dyDescent="0.55000000000000004">
      <c r="A42" s="681"/>
      <c r="B42" s="693" t="s">
        <v>766</v>
      </c>
      <c r="C42" s="681"/>
      <c r="D42" s="681"/>
      <c r="E42" s="681"/>
      <c r="F42" s="681"/>
      <c r="G42" s="681"/>
    </row>
    <row r="43" spans="1:13" x14ac:dyDescent="0.25">
      <c r="B43" s="705" t="s">
        <v>767</v>
      </c>
      <c r="G43" s="681"/>
    </row>
    <row r="44" spans="1:13" x14ac:dyDescent="0.25">
      <c r="B44" s="705" t="s">
        <v>768</v>
      </c>
      <c r="G44" s="681"/>
    </row>
    <row r="45" spans="1:13" x14ac:dyDescent="0.25">
      <c r="B45" s="705" t="s">
        <v>773</v>
      </c>
      <c r="G45" s="681"/>
    </row>
    <row r="46" spans="1:13" x14ac:dyDescent="0.25">
      <c r="B46" s="705" t="s">
        <v>774</v>
      </c>
      <c r="G46" s="681"/>
    </row>
    <row r="47" spans="1:13" x14ac:dyDescent="0.25">
      <c r="B47" s="705" t="s">
        <v>775</v>
      </c>
      <c r="G47" s="681"/>
    </row>
    <row r="48" spans="1:13" x14ac:dyDescent="0.25">
      <c r="B48" s="705" t="s">
        <v>776</v>
      </c>
      <c r="G48" s="681"/>
    </row>
    <row r="49" spans="2:7" x14ac:dyDescent="0.25">
      <c r="G49" s="681"/>
    </row>
    <row r="50" spans="2:7" x14ac:dyDescent="0.25">
      <c r="G50" s="681"/>
    </row>
    <row r="51" spans="2:7" x14ac:dyDescent="0.25">
      <c r="G51" s="681"/>
    </row>
    <row r="52" spans="2:7" x14ac:dyDescent="0.25">
      <c r="B52" s="709" t="s">
        <v>642</v>
      </c>
      <c r="C52" s="556" t="s">
        <v>796</v>
      </c>
      <c r="D52" s="710" t="s">
        <v>797</v>
      </c>
      <c r="E52" s="711" t="s">
        <v>741</v>
      </c>
      <c r="G52" s="681"/>
    </row>
    <row r="53" spans="2:7" x14ac:dyDescent="0.25">
      <c r="B53" s="556"/>
      <c r="C53" s="710" t="s">
        <v>793</v>
      </c>
      <c r="D53" s="713" t="s">
        <v>795</v>
      </c>
      <c r="E53" s="711" t="s">
        <v>794</v>
      </c>
      <c r="G53" s="681"/>
    </row>
    <row r="54" spans="2:7" x14ac:dyDescent="0.25">
      <c r="B54" s="30" t="s">
        <v>789</v>
      </c>
      <c r="C54" s="288">
        <v>50</v>
      </c>
      <c r="D54" s="712">
        <v>25</v>
      </c>
      <c r="E54" s="288">
        <v>75</v>
      </c>
      <c r="G54" s="681"/>
    </row>
    <row r="55" spans="2:7" x14ac:dyDescent="0.25">
      <c r="B55" s="30"/>
      <c r="C55" s="288"/>
      <c r="D55" s="712"/>
      <c r="E55" s="288"/>
      <c r="G55" s="681"/>
    </row>
    <row r="56" spans="2:7" x14ac:dyDescent="0.25">
      <c r="B56" s="30" t="s">
        <v>790</v>
      </c>
      <c r="C56" s="288">
        <v>50</v>
      </c>
      <c r="D56" s="712">
        <v>75</v>
      </c>
      <c r="E56" s="288">
        <v>25</v>
      </c>
      <c r="G56" s="681"/>
    </row>
    <row r="57" spans="2:7" x14ac:dyDescent="0.25">
      <c r="B57" s="30"/>
      <c r="C57" s="288"/>
      <c r="D57" s="712"/>
      <c r="E57" s="288"/>
      <c r="G57" s="681"/>
    </row>
    <row r="58" spans="2:7" x14ac:dyDescent="0.25">
      <c r="B58" s="556"/>
      <c r="C58" s="707">
        <v>100</v>
      </c>
      <c r="D58" s="713">
        <v>100</v>
      </c>
      <c r="E58" s="708">
        <v>100</v>
      </c>
      <c r="G58" s="681"/>
    </row>
    <row r="59" spans="2:7" x14ac:dyDescent="0.25">
      <c r="B59" s="30"/>
      <c r="C59" s="288"/>
      <c r="D59" s="712"/>
      <c r="E59" s="288"/>
      <c r="G59" s="681"/>
    </row>
    <row r="60" spans="2:7" x14ac:dyDescent="0.25">
      <c r="B60" s="30" t="s">
        <v>791</v>
      </c>
      <c r="C60" s="288">
        <v>50</v>
      </c>
      <c r="D60" s="712">
        <v>50</v>
      </c>
      <c r="E60" s="288">
        <v>50</v>
      </c>
      <c r="G60" s="681"/>
    </row>
    <row r="61" spans="2:7" x14ac:dyDescent="0.25">
      <c r="B61" s="30"/>
      <c r="C61" s="288"/>
      <c r="D61" s="712"/>
      <c r="E61" s="288"/>
      <c r="G61" s="681"/>
    </row>
    <row r="62" spans="2:7" x14ac:dyDescent="0.25">
      <c r="B62" s="30" t="s">
        <v>792</v>
      </c>
      <c r="C62" s="288">
        <v>50</v>
      </c>
      <c r="D62" s="712">
        <v>50</v>
      </c>
      <c r="E62" s="288">
        <v>50</v>
      </c>
      <c r="G62" s="681"/>
    </row>
    <row r="63" spans="2:7" x14ac:dyDescent="0.25">
      <c r="C63" s="288"/>
      <c r="D63" s="712"/>
      <c r="E63" s="288"/>
      <c r="G63" s="681"/>
    </row>
    <row r="64" spans="2:7" x14ac:dyDescent="0.25">
      <c r="B64" s="296"/>
      <c r="C64" s="707">
        <v>100</v>
      </c>
      <c r="D64" s="713">
        <v>100</v>
      </c>
      <c r="E64" s="708">
        <v>100</v>
      </c>
      <c r="G64" s="681"/>
    </row>
    <row r="65" spans="1:7" x14ac:dyDescent="0.25">
      <c r="G65" s="681"/>
    </row>
    <row r="66" spans="1:7" x14ac:dyDescent="0.25">
      <c r="G66" s="681"/>
    </row>
    <row r="67" spans="1:7" x14ac:dyDescent="0.25">
      <c r="G67" s="681"/>
    </row>
    <row r="68" spans="1:7" x14ac:dyDescent="0.25">
      <c r="A68" s="42"/>
      <c r="B68" s="42"/>
      <c r="C68" s="42"/>
      <c r="D68" s="42"/>
      <c r="E68" s="42"/>
      <c r="F68" s="42"/>
      <c r="G68" s="42"/>
    </row>
  </sheetData>
  <mergeCells count="1">
    <mergeCell ref="B2:F2"/>
  </mergeCells>
  <pageMargins left="0.25" right="0.31" top="0.49" bottom="0.5" header="0.3" footer="0.3"/>
  <pageSetup paperSize="9" orientation="portrait" r:id="rId1"/>
  <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A9C9C7-F07A-4177-BE6D-344AE41981F7}">
  <dimension ref="B1:K220"/>
  <sheetViews>
    <sheetView zoomScale="90" zoomScaleNormal="90" workbookViewId="0">
      <selection activeCell="G143" sqref="G143"/>
    </sheetView>
  </sheetViews>
  <sheetFormatPr defaultRowHeight="15.75" outlineLevelRow="1" outlineLevelCol="1" x14ac:dyDescent="0.25"/>
  <cols>
    <col min="1" max="1" width="7" style="716" customWidth="1"/>
    <col min="2" max="2" width="47.42578125" style="716" customWidth="1"/>
    <col min="3" max="3" width="19.5703125" style="716" bestFit="1" customWidth="1"/>
    <col min="4" max="4" width="17.28515625" style="716" customWidth="1" outlineLevel="1"/>
    <col min="5" max="5" width="15.7109375" style="716" customWidth="1" outlineLevel="1"/>
    <col min="6" max="6" width="16.85546875" style="716" customWidth="1" outlineLevel="1"/>
    <col min="7" max="7" width="15.42578125" style="716" customWidth="1" outlineLevel="1"/>
    <col min="8" max="8" width="9.140625" style="716"/>
    <col min="9" max="9" width="12.7109375" style="716" bestFit="1" customWidth="1"/>
    <col min="10" max="12" width="21.140625" style="716" customWidth="1"/>
    <col min="13" max="13" width="9.140625" style="716"/>
    <col min="14" max="14" width="14.140625" style="716" customWidth="1"/>
    <col min="15" max="15" width="9.140625" style="716"/>
    <col min="16" max="16" width="16.140625" style="716" customWidth="1"/>
    <col min="17" max="16384" width="9.140625" style="716"/>
  </cols>
  <sheetData>
    <row r="1" spans="2:7" ht="16.5" thickBot="1" x14ac:dyDescent="0.3"/>
    <row r="2" spans="2:7" ht="21" thickBot="1" x14ac:dyDescent="0.35">
      <c r="B2" s="752" t="s">
        <v>830</v>
      </c>
      <c r="C2" s="753">
        <f>C5-C27</f>
        <v>-92849825.850000143</v>
      </c>
    </row>
    <row r="4" spans="2:7" x14ac:dyDescent="0.25">
      <c r="C4" s="742" t="s">
        <v>813</v>
      </c>
      <c r="D4" s="743" t="s">
        <v>817</v>
      </c>
      <c r="E4" s="744" t="s">
        <v>948</v>
      </c>
      <c r="F4" s="744" t="s">
        <v>793</v>
      </c>
      <c r="G4" s="745" t="s">
        <v>950</v>
      </c>
    </row>
    <row r="5" spans="2:7" ht="20.25" x14ac:dyDescent="0.3">
      <c r="B5" s="736" t="s">
        <v>814</v>
      </c>
      <c r="C5" s="737">
        <f>C11+C16+C20+C22</f>
        <v>617080754.89999998</v>
      </c>
      <c r="D5" s="746" t="s">
        <v>826</v>
      </c>
      <c r="E5" s="734"/>
      <c r="F5" s="734"/>
      <c r="G5" s="735"/>
    </row>
    <row r="6" spans="2:7" outlineLevel="1" x14ac:dyDescent="0.25">
      <c r="B6" s="728"/>
      <c r="G6" s="729"/>
    </row>
    <row r="7" spans="2:7" outlineLevel="1" x14ac:dyDescent="0.25">
      <c r="B7" s="730" t="s">
        <v>54</v>
      </c>
      <c r="C7" s="719">
        <f>SUM(D7:G7)</f>
        <v>450000000</v>
      </c>
      <c r="D7" s="716">
        <v>-16500000</v>
      </c>
      <c r="E7" s="716">
        <v>450000000</v>
      </c>
      <c r="F7" s="716">
        <v>16000000</v>
      </c>
      <c r="G7" s="729">
        <v>500000</v>
      </c>
    </row>
    <row r="8" spans="2:7" outlineLevel="1" x14ac:dyDescent="0.25">
      <c r="B8" s="730" t="s">
        <v>55</v>
      </c>
      <c r="C8" s="719">
        <f>SUM(D8:G8)</f>
        <v>23344431</v>
      </c>
      <c r="D8" s="716">
        <v>-1963635</v>
      </c>
      <c r="E8" s="716">
        <v>23344431</v>
      </c>
      <c r="F8" s="716">
        <v>1813635</v>
      </c>
      <c r="G8" s="729">
        <v>150000</v>
      </c>
    </row>
    <row r="9" spans="2:7" outlineLevel="1" x14ac:dyDescent="0.25">
      <c r="B9" s="730" t="s">
        <v>113</v>
      </c>
      <c r="C9" s="719">
        <f>SUM(D9:G9)</f>
        <v>0</v>
      </c>
      <c r="D9" s="716">
        <v>0</v>
      </c>
      <c r="E9" s="716">
        <v>0</v>
      </c>
      <c r="F9" s="716">
        <v>0</v>
      </c>
      <c r="G9" s="729">
        <v>0</v>
      </c>
    </row>
    <row r="10" spans="2:7" outlineLevel="1" x14ac:dyDescent="0.25">
      <c r="B10" s="730" t="s">
        <v>114</v>
      </c>
      <c r="C10" s="719">
        <f>SUM(D10:G10)</f>
        <v>26328642</v>
      </c>
      <c r="D10" s="716">
        <v>1515452</v>
      </c>
      <c r="E10" s="749">
        <v>26328642</v>
      </c>
      <c r="F10" s="749">
        <v>-2756231</v>
      </c>
      <c r="G10" s="729">
        <v>1240779</v>
      </c>
    </row>
    <row r="11" spans="2:7" x14ac:dyDescent="0.25">
      <c r="B11" s="717" t="s">
        <v>56</v>
      </c>
      <c r="C11" s="724">
        <f>SUM(C7:C10)</f>
        <v>499673073</v>
      </c>
      <c r="D11" s="724">
        <f>SUM(D7:D10)</f>
        <v>-16948183</v>
      </c>
      <c r="E11" s="724">
        <f>SUM(E7:E10)</f>
        <v>499673073</v>
      </c>
      <c r="F11" s="724">
        <f>SUM(F7:F10)</f>
        <v>15057404</v>
      </c>
      <c r="G11" s="718">
        <f>SUM(G7:G10)</f>
        <v>1890779</v>
      </c>
    </row>
    <row r="12" spans="2:7" x14ac:dyDescent="0.25">
      <c r="B12" s="730"/>
      <c r="C12" s="719"/>
      <c r="G12" s="729"/>
    </row>
    <row r="13" spans="2:7" outlineLevel="1" x14ac:dyDescent="0.25">
      <c r="B13" s="730" t="s">
        <v>820</v>
      </c>
      <c r="C13" s="716">
        <f>-SUM(D13:G13)</f>
        <v>22222222.239999998</v>
      </c>
      <c r="D13" s="716">
        <v>0</v>
      </c>
      <c r="E13" s="749">
        <v>-22222222.239999998</v>
      </c>
      <c r="F13" s="716">
        <v>0</v>
      </c>
      <c r="G13" s="729">
        <v>0</v>
      </c>
    </row>
    <row r="14" spans="2:7" outlineLevel="1" x14ac:dyDescent="0.25">
      <c r="B14" s="730" t="s">
        <v>821</v>
      </c>
      <c r="C14" s="716">
        <f>-SUM(D14:G14)</f>
        <v>30595236.82</v>
      </c>
      <c r="D14" s="716">
        <v>0</v>
      </c>
      <c r="E14" s="749">
        <v>-30595236.82</v>
      </c>
      <c r="F14" s="716">
        <v>0</v>
      </c>
      <c r="G14" s="729">
        <v>0</v>
      </c>
    </row>
    <row r="15" spans="2:7" outlineLevel="1" x14ac:dyDescent="0.25">
      <c r="B15" s="730" t="s">
        <v>822</v>
      </c>
      <c r="C15" s="716">
        <f>-SUM(D15:G15)</f>
        <v>3134600</v>
      </c>
      <c r="D15" s="716">
        <v>0</v>
      </c>
      <c r="E15" s="716">
        <v>0</v>
      </c>
      <c r="F15" s="749">
        <v>-3134600</v>
      </c>
      <c r="G15" s="729">
        <v>0</v>
      </c>
    </row>
    <row r="16" spans="2:7" x14ac:dyDescent="0.25">
      <c r="B16" s="717" t="s">
        <v>108</v>
      </c>
      <c r="C16" s="724">
        <f>SUM(C13:C15)</f>
        <v>55952059.060000002</v>
      </c>
      <c r="D16" s="724">
        <v>0</v>
      </c>
      <c r="E16" s="724">
        <f>SUM(E13:E15)</f>
        <v>-52817459.060000002</v>
      </c>
      <c r="F16" s="724">
        <f>SUM(F13:F15)</f>
        <v>-3134600</v>
      </c>
      <c r="G16" s="718">
        <f>SUM(G13:G15)</f>
        <v>0</v>
      </c>
    </row>
    <row r="17" spans="2:7" x14ac:dyDescent="0.25">
      <c r="B17" s="730"/>
      <c r="C17" s="719"/>
      <c r="G17" s="729"/>
    </row>
    <row r="18" spans="2:7" outlineLevel="1" x14ac:dyDescent="0.25">
      <c r="B18" s="730" t="s">
        <v>818</v>
      </c>
      <c r="C18" s="719">
        <f>SUM(E18:G18)</f>
        <v>-51677573.560000002</v>
      </c>
      <c r="D18" s="716">
        <v>0</v>
      </c>
      <c r="E18" s="716">
        <v>-34189221.780000001</v>
      </c>
      <c r="F18" s="716">
        <v>-4541565.2</v>
      </c>
      <c r="G18" s="729">
        <v>-12946786.58</v>
      </c>
    </row>
    <row r="19" spans="2:7" outlineLevel="1" x14ac:dyDescent="0.25">
      <c r="B19" s="730" t="s">
        <v>819</v>
      </c>
      <c r="C19" s="719">
        <f>SUM(E19:G19)</f>
        <v>1701904.72</v>
      </c>
      <c r="D19" s="716">
        <v>0</v>
      </c>
      <c r="E19" s="716">
        <v>1267200.74</v>
      </c>
      <c r="F19" s="716">
        <v>-214968.08</v>
      </c>
      <c r="G19" s="729">
        <v>649672.06000000006</v>
      </c>
    </row>
    <row r="20" spans="2:7" x14ac:dyDescent="0.25">
      <c r="B20" s="717" t="s">
        <v>57</v>
      </c>
      <c r="C20" s="724">
        <f>-SUM(C18:C19)</f>
        <v>49975668.840000004</v>
      </c>
      <c r="D20" s="724">
        <v>0</v>
      </c>
      <c r="E20" s="724">
        <f>SUM(E18:E19)</f>
        <v>-32922021.040000003</v>
      </c>
      <c r="F20" s="724">
        <f>SUM(F18:F19)</f>
        <v>-4756533.28</v>
      </c>
      <c r="G20" s="718">
        <f>SUM(G18:G19)</f>
        <v>-12297114.52</v>
      </c>
    </row>
    <row r="21" spans="2:7" x14ac:dyDescent="0.25">
      <c r="B21" s="730"/>
      <c r="C21" s="719"/>
      <c r="G21" s="729"/>
    </row>
    <row r="22" spans="2:7" x14ac:dyDescent="0.25">
      <c r="B22" s="717" t="s">
        <v>109</v>
      </c>
      <c r="C22" s="724">
        <f>SUM(E22:G22)</f>
        <v>11479954</v>
      </c>
      <c r="D22" s="724">
        <v>0</v>
      </c>
      <c r="E22" s="724">
        <v>11167819</v>
      </c>
      <c r="F22" s="724">
        <v>312135</v>
      </c>
      <c r="G22" s="718">
        <v>0</v>
      </c>
    </row>
    <row r="23" spans="2:7" x14ac:dyDescent="0.25">
      <c r="B23" s="731"/>
      <c r="C23" s="720"/>
      <c r="D23" s="720"/>
      <c r="E23" s="720"/>
      <c r="F23" s="720"/>
      <c r="G23" s="732"/>
    </row>
    <row r="26" spans="2:7" x14ac:dyDescent="0.25">
      <c r="C26" s="742" t="s">
        <v>813</v>
      </c>
      <c r="D26" s="743" t="s">
        <v>817</v>
      </c>
      <c r="E26" s="744" t="s">
        <v>948</v>
      </c>
      <c r="F26" s="744" t="s">
        <v>793</v>
      </c>
      <c r="G26" s="745" t="s">
        <v>950</v>
      </c>
    </row>
    <row r="27" spans="2:7" ht="20.25" x14ac:dyDescent="0.3">
      <c r="B27" s="736" t="s">
        <v>815</v>
      </c>
      <c r="C27" s="761">
        <f>C56+C60+C64+C68+C72+C74</f>
        <v>709930580.75000012</v>
      </c>
      <c r="D27" s="746" t="s">
        <v>826</v>
      </c>
      <c r="E27" s="734"/>
      <c r="F27" s="734"/>
      <c r="G27" s="735"/>
    </row>
    <row r="28" spans="2:7" outlineLevel="1" x14ac:dyDescent="0.25">
      <c r="B28" s="738" t="s">
        <v>434</v>
      </c>
      <c r="C28" s="725">
        <f>SUM(D28:G28)</f>
        <v>26597908.870000001</v>
      </c>
      <c r="D28" s="716">
        <v>14586811</v>
      </c>
      <c r="E28" s="716">
        <v>10988039.890000001</v>
      </c>
      <c r="F28" s="716">
        <v>1023057.98</v>
      </c>
      <c r="G28" s="729">
        <v>0</v>
      </c>
    </row>
    <row r="29" spans="2:7" outlineLevel="1" x14ac:dyDescent="0.25">
      <c r="B29" s="738" t="s">
        <v>825</v>
      </c>
      <c r="C29" s="725">
        <f>SUM(D29:G29)</f>
        <v>-9583259.3099999987</v>
      </c>
      <c r="D29" s="716">
        <v>0</v>
      </c>
      <c r="E29" s="716">
        <v>-9072364.8699999992</v>
      </c>
      <c r="F29" s="716">
        <v>-510894.44</v>
      </c>
      <c r="G29" s="729">
        <v>0</v>
      </c>
    </row>
    <row r="30" spans="2:7" outlineLevel="1" x14ac:dyDescent="0.25">
      <c r="B30" s="738"/>
      <c r="C30" s="727">
        <f>SUM(C28:C29)</f>
        <v>17014649.560000002</v>
      </c>
      <c r="D30" s="722">
        <f>SUM(D28:D29)</f>
        <v>14586811</v>
      </c>
      <c r="E30" s="722">
        <f>SUM(E28:E29)</f>
        <v>1915675.0200000014</v>
      </c>
      <c r="F30" s="722">
        <f>SUM(F28:F29)</f>
        <v>512163.54</v>
      </c>
      <c r="G30" s="754">
        <f>SUM(G28:G29)</f>
        <v>0</v>
      </c>
    </row>
    <row r="31" spans="2:7" outlineLevel="1" x14ac:dyDescent="0.25">
      <c r="B31" s="738"/>
      <c r="C31" s="725"/>
      <c r="G31" s="729"/>
    </row>
    <row r="32" spans="2:7" outlineLevel="1" x14ac:dyDescent="0.25">
      <c r="B32" s="738" t="s">
        <v>435</v>
      </c>
      <c r="C32" s="725">
        <f>SUM(D32:G32)</f>
        <v>226610241.5</v>
      </c>
      <c r="E32" s="716">
        <v>219677162.81</v>
      </c>
      <c r="F32" s="716">
        <v>6933078.6900000004</v>
      </c>
      <c r="G32" s="729">
        <v>0</v>
      </c>
    </row>
    <row r="33" spans="2:7" outlineLevel="1" x14ac:dyDescent="0.25">
      <c r="B33" s="738" t="s">
        <v>825</v>
      </c>
      <c r="C33" s="725">
        <f>SUM(D33:G33)</f>
        <v>-119198105.39</v>
      </c>
      <c r="E33" s="716">
        <v>-115695724.06</v>
      </c>
      <c r="F33" s="716">
        <v>-3502381.33</v>
      </c>
      <c r="G33" s="729">
        <v>0</v>
      </c>
    </row>
    <row r="34" spans="2:7" outlineLevel="1" x14ac:dyDescent="0.25">
      <c r="B34" s="738"/>
      <c r="C34" s="727">
        <f>SUM(C32:C33)</f>
        <v>107412136.11</v>
      </c>
      <c r="D34" s="722">
        <f>SUM(D32:D33)</f>
        <v>0</v>
      </c>
      <c r="E34" s="722">
        <f>SUM(E32:E33)</f>
        <v>103981438.75</v>
      </c>
      <c r="F34" s="722">
        <f>SUM(F32:F33)</f>
        <v>3430697.3600000003</v>
      </c>
      <c r="G34" s="754">
        <f>SUM(G32:G33)</f>
        <v>0</v>
      </c>
    </row>
    <row r="35" spans="2:7" outlineLevel="1" x14ac:dyDescent="0.25">
      <c r="B35" s="738"/>
      <c r="C35" s="725"/>
      <c r="G35" s="729"/>
    </row>
    <row r="36" spans="2:7" outlineLevel="1" x14ac:dyDescent="0.25">
      <c r="B36" s="738" t="s">
        <v>436</v>
      </c>
      <c r="C36" s="725">
        <f>SUM(D36:G36)</f>
        <v>970462291.13999999</v>
      </c>
      <c r="D36" s="716">
        <v>0</v>
      </c>
      <c r="E36" s="716">
        <v>943253869.87</v>
      </c>
      <c r="F36" s="716">
        <v>27202089.77</v>
      </c>
      <c r="G36" s="729">
        <v>6331.5</v>
      </c>
    </row>
    <row r="37" spans="2:7" outlineLevel="1" x14ac:dyDescent="0.25">
      <c r="B37" s="738" t="s">
        <v>825</v>
      </c>
      <c r="C37" s="725">
        <f>SUM(D37:G37)</f>
        <v>-585097615.92999995</v>
      </c>
      <c r="D37" s="716">
        <v>0</v>
      </c>
      <c r="E37" s="716">
        <v>-570475444.65999997</v>
      </c>
      <c r="F37" s="716">
        <v>-14617889.17</v>
      </c>
      <c r="G37" s="729">
        <v>-4282.1000000000004</v>
      </c>
    </row>
    <row r="38" spans="2:7" outlineLevel="1" x14ac:dyDescent="0.25">
      <c r="B38" s="738"/>
      <c r="C38" s="727">
        <f>SUM(C36:C37)</f>
        <v>385364675.21000004</v>
      </c>
      <c r="D38" s="722">
        <f>SUM(D36:D37)</f>
        <v>0</v>
      </c>
      <c r="E38" s="722">
        <f>SUM(E36:E37)</f>
        <v>372778425.21000004</v>
      </c>
      <c r="F38" s="722">
        <f>SUM(F36:F37)</f>
        <v>12584200.6</v>
      </c>
      <c r="G38" s="754">
        <f>SUM(G36:G37)</f>
        <v>2049.3999999999996</v>
      </c>
    </row>
    <row r="39" spans="2:7" outlineLevel="1" x14ac:dyDescent="0.25">
      <c r="B39" s="738"/>
      <c r="C39" s="725"/>
      <c r="G39" s="729"/>
    </row>
    <row r="40" spans="2:7" outlineLevel="1" x14ac:dyDescent="0.25">
      <c r="B40" s="738" t="s">
        <v>437</v>
      </c>
      <c r="C40" s="725">
        <f>SUM(D40:G40)</f>
        <v>33701560.369999997</v>
      </c>
      <c r="D40" s="716">
        <v>0</v>
      </c>
      <c r="E40" s="716">
        <v>30888919.899999999</v>
      </c>
      <c r="F40" s="716">
        <v>2678508.12</v>
      </c>
      <c r="G40" s="729">
        <v>134132.35</v>
      </c>
    </row>
    <row r="41" spans="2:7" outlineLevel="1" x14ac:dyDescent="0.25">
      <c r="B41" s="738" t="s">
        <v>825</v>
      </c>
      <c r="C41" s="725">
        <f>SUM(D41:G41)</f>
        <v>-24714779.670000002</v>
      </c>
      <c r="D41" s="716">
        <v>0</v>
      </c>
      <c r="E41" s="716">
        <v>-22842327</v>
      </c>
      <c r="F41" s="716">
        <v>-1747812.67</v>
      </c>
      <c r="G41" s="729">
        <v>-124640</v>
      </c>
    </row>
    <row r="42" spans="2:7" outlineLevel="1" x14ac:dyDescent="0.25">
      <c r="B42" s="738"/>
      <c r="C42" s="727">
        <f>SUM(C40:C41)</f>
        <v>8986780.6999999955</v>
      </c>
      <c r="D42" s="722">
        <f>SUM(D40:D41)</f>
        <v>0</v>
      </c>
      <c r="E42" s="722">
        <f>SUM(E40:E41)</f>
        <v>8046592.8999999985</v>
      </c>
      <c r="F42" s="722">
        <f>SUM(F40:F41)</f>
        <v>930695.45000000019</v>
      </c>
      <c r="G42" s="754">
        <f>SUM(G40:G41)</f>
        <v>9492.3500000000058</v>
      </c>
    </row>
    <row r="43" spans="2:7" outlineLevel="1" x14ac:dyDescent="0.25">
      <c r="B43" s="738"/>
      <c r="C43" s="725"/>
      <c r="G43" s="729"/>
    </row>
    <row r="44" spans="2:7" outlineLevel="1" x14ac:dyDescent="0.25">
      <c r="B44" s="738" t="s">
        <v>438</v>
      </c>
      <c r="C44" s="725">
        <f>SUM(D44:G44)</f>
        <v>58660509.75</v>
      </c>
      <c r="D44" s="716">
        <v>0</v>
      </c>
      <c r="E44" s="716">
        <v>47362406.939999998</v>
      </c>
      <c r="F44" s="716">
        <v>10520158.810000001</v>
      </c>
      <c r="G44" s="729">
        <v>777944</v>
      </c>
    </row>
    <row r="45" spans="2:7" outlineLevel="1" x14ac:dyDescent="0.25">
      <c r="B45" s="738" t="s">
        <v>825</v>
      </c>
      <c r="C45" s="725">
        <f>SUM(D45:G45)</f>
        <v>-38861730.960000001</v>
      </c>
      <c r="D45" s="716">
        <v>0</v>
      </c>
      <c r="E45" s="716">
        <v>-30746741.75</v>
      </c>
      <c r="F45" s="716">
        <v>-7906566.3499999996</v>
      </c>
      <c r="G45" s="729">
        <v>-208422.86</v>
      </c>
    </row>
    <row r="46" spans="2:7" outlineLevel="1" x14ac:dyDescent="0.25">
      <c r="B46" s="738"/>
      <c r="C46" s="727">
        <f>SUM(C44:C45)</f>
        <v>19798778.789999999</v>
      </c>
      <c r="D46" s="722">
        <f>SUM(D44:D45)</f>
        <v>0</v>
      </c>
      <c r="E46" s="722">
        <f>SUM(E44:E45)</f>
        <v>16615665.189999998</v>
      </c>
      <c r="F46" s="722">
        <f>SUM(F44:F45)</f>
        <v>2613592.4600000009</v>
      </c>
      <c r="G46" s="754">
        <f>SUM(G44:G45)</f>
        <v>569521.14</v>
      </c>
    </row>
    <row r="47" spans="2:7" outlineLevel="1" x14ac:dyDescent="0.25">
      <c r="B47" s="738"/>
      <c r="C47" s="725"/>
      <c r="G47" s="729"/>
    </row>
    <row r="48" spans="2:7" outlineLevel="1" x14ac:dyDescent="0.25">
      <c r="B48" s="738" t="s">
        <v>439</v>
      </c>
      <c r="C48" s="725">
        <f>SUM(D48:G48)</f>
        <v>76407651</v>
      </c>
      <c r="D48" s="716">
        <v>0</v>
      </c>
      <c r="E48" s="750">
        <v>76407651</v>
      </c>
      <c r="F48" s="716">
        <v>0</v>
      </c>
      <c r="G48" s="729">
        <v>0</v>
      </c>
    </row>
    <row r="49" spans="2:7" outlineLevel="1" x14ac:dyDescent="0.25">
      <c r="B49" s="738" t="s">
        <v>825</v>
      </c>
      <c r="C49" s="725">
        <f>SUM(D49:G49)</f>
        <v>-4670172</v>
      </c>
      <c r="D49" s="716">
        <v>0</v>
      </c>
      <c r="E49" s="750">
        <v>-4670172</v>
      </c>
      <c r="F49" s="716">
        <v>0</v>
      </c>
      <c r="G49" s="729">
        <v>0</v>
      </c>
    </row>
    <row r="50" spans="2:7" outlineLevel="1" x14ac:dyDescent="0.25">
      <c r="B50" s="738"/>
      <c r="C50" s="727">
        <f>SUM(C48:C49)</f>
        <v>71737479</v>
      </c>
      <c r="D50" s="722">
        <f>SUM(D48:D49)</f>
        <v>0</v>
      </c>
      <c r="E50" s="722">
        <f>SUM(E48:E49)</f>
        <v>71737479</v>
      </c>
      <c r="F50" s="722">
        <f>SUM(F48:F49)</f>
        <v>0</v>
      </c>
      <c r="G50" s="754">
        <f>SUM(G48:G49)</f>
        <v>0</v>
      </c>
    </row>
    <row r="51" spans="2:7" outlineLevel="1" x14ac:dyDescent="0.25">
      <c r="B51" s="762" t="s">
        <v>940</v>
      </c>
      <c r="C51" s="725"/>
      <c r="G51" s="729"/>
    </row>
    <row r="52" spans="2:7" outlineLevel="1" x14ac:dyDescent="0.25">
      <c r="B52" s="738" t="s">
        <v>440</v>
      </c>
      <c r="C52" s="725">
        <f>SUM(D52:G52)</f>
        <v>17918399.739999998</v>
      </c>
      <c r="D52" s="725">
        <v>0</v>
      </c>
      <c r="E52" s="751">
        <v>10903950.199999999</v>
      </c>
      <c r="F52" s="751">
        <v>7014449.54</v>
      </c>
      <c r="G52" s="729">
        <v>0</v>
      </c>
    </row>
    <row r="53" spans="2:7" outlineLevel="1" x14ac:dyDescent="0.25">
      <c r="B53" s="738" t="s">
        <v>825</v>
      </c>
      <c r="C53" s="725">
        <f>SUM(D53:G53)</f>
        <v>0</v>
      </c>
      <c r="D53" s="716">
        <v>0</v>
      </c>
      <c r="E53" s="750">
        <v>0</v>
      </c>
      <c r="F53" s="750">
        <v>0</v>
      </c>
      <c r="G53" s="729">
        <v>0</v>
      </c>
    </row>
    <row r="54" spans="2:7" outlineLevel="1" x14ac:dyDescent="0.25">
      <c r="B54" s="738"/>
      <c r="C54" s="727">
        <f>SUM(C52:C53)</f>
        <v>17918399.739999998</v>
      </c>
      <c r="D54" s="722">
        <f>SUM(D52:D53)</f>
        <v>0</v>
      </c>
      <c r="E54" s="722">
        <f>SUM(E52:E53)</f>
        <v>10903950.199999999</v>
      </c>
      <c r="F54" s="722">
        <f>SUM(F52:F53)</f>
        <v>7014449.54</v>
      </c>
      <c r="G54" s="754">
        <f>SUM(G52:G53)</f>
        <v>0</v>
      </c>
    </row>
    <row r="55" spans="2:7" outlineLevel="1" x14ac:dyDescent="0.25">
      <c r="B55" s="738"/>
      <c r="C55" s="725"/>
      <c r="G55" s="729"/>
    </row>
    <row r="56" spans="2:7" x14ac:dyDescent="0.25">
      <c r="B56" s="717" t="s">
        <v>824</v>
      </c>
      <c r="C56" s="724">
        <f>C30+C34+C38+C42+C46+C50+C54</f>
        <v>628232899.11000001</v>
      </c>
      <c r="D56" s="724">
        <f>D30+D34+D38+D42+D46+D50+D54</f>
        <v>14586811</v>
      </c>
      <c r="E56" s="724">
        <f>E30+E34+E38+E42+E46+E50+E54</f>
        <v>585979226.26999998</v>
      </c>
      <c r="F56" s="724">
        <f>F30+F34+F38+F42+F46+F50+F54</f>
        <v>27085798.949999999</v>
      </c>
      <c r="G56" s="718">
        <f>G30+G34+G38+G42+G46+G50+G54</f>
        <v>581062.89</v>
      </c>
    </row>
    <row r="57" spans="2:7" x14ac:dyDescent="0.25">
      <c r="B57" s="738"/>
      <c r="C57" s="725"/>
      <c r="G57" s="729"/>
    </row>
    <row r="58" spans="2:7" outlineLevel="1" x14ac:dyDescent="0.25">
      <c r="B58" s="730" t="s">
        <v>45</v>
      </c>
      <c r="C58" s="725">
        <f>SUM(D58:G58)</f>
        <v>23982179.740000002</v>
      </c>
      <c r="D58" s="716">
        <v>-982967</v>
      </c>
      <c r="E58" s="750">
        <v>17859232.760000002</v>
      </c>
      <c r="F58" s="750">
        <v>7105913.9800000004</v>
      </c>
      <c r="G58" s="729">
        <v>0</v>
      </c>
    </row>
    <row r="59" spans="2:7" outlineLevel="1" x14ac:dyDescent="0.25">
      <c r="B59" s="738" t="s">
        <v>825</v>
      </c>
      <c r="C59" s="725">
        <f>SUM(D59:G59)</f>
        <v>-7566806</v>
      </c>
      <c r="E59" s="750">
        <v>-2917965.67</v>
      </c>
      <c r="F59" s="750">
        <v>-4648840.33</v>
      </c>
      <c r="G59" s="729">
        <v>0</v>
      </c>
    </row>
    <row r="60" spans="2:7" x14ac:dyDescent="0.25">
      <c r="B60" s="717" t="s">
        <v>45</v>
      </c>
      <c r="C60" s="724">
        <f>SUM(C58:C59)</f>
        <v>16415373.740000002</v>
      </c>
      <c r="D60" s="724">
        <f>SUM(D58:D59)</f>
        <v>-982967</v>
      </c>
      <c r="E60" s="724">
        <f>SUM(E58:E59)</f>
        <v>14941267.090000002</v>
      </c>
      <c r="F60" s="724">
        <f>SUM(F58:F59)</f>
        <v>2457073.6500000004</v>
      </c>
      <c r="G60" s="718">
        <f>SUM(G58:G59)</f>
        <v>0</v>
      </c>
    </row>
    <row r="61" spans="2:7" x14ac:dyDescent="0.25">
      <c r="B61" s="733"/>
      <c r="C61" s="725"/>
      <c r="F61" s="536"/>
      <c r="G61" s="729"/>
    </row>
    <row r="62" spans="2:7" outlineLevel="1" x14ac:dyDescent="0.25">
      <c r="B62" s="730" t="s">
        <v>46</v>
      </c>
      <c r="C62" s="725">
        <f>SUM(D62:G62)</f>
        <v>4695270.26</v>
      </c>
      <c r="D62" s="716">
        <v>0</v>
      </c>
      <c r="E62" s="716">
        <v>4662598.26</v>
      </c>
      <c r="F62" s="747">
        <v>22672</v>
      </c>
      <c r="G62" s="748">
        <v>10000</v>
      </c>
    </row>
    <row r="63" spans="2:7" outlineLevel="1" x14ac:dyDescent="0.25">
      <c r="B63" s="738" t="s">
        <v>825</v>
      </c>
      <c r="C63" s="725">
        <f>SUM(D63:G63)</f>
        <v>-3726638.57</v>
      </c>
      <c r="D63" s="716">
        <v>0</v>
      </c>
      <c r="E63" s="716">
        <v>-3702967.61</v>
      </c>
      <c r="F63" s="716">
        <v>-22671</v>
      </c>
      <c r="G63" s="729">
        <v>-999.96</v>
      </c>
    </row>
    <row r="64" spans="2:7" x14ac:dyDescent="0.25">
      <c r="B64" s="717" t="s">
        <v>46</v>
      </c>
      <c r="C64" s="724">
        <f>SUM(C62:C63)</f>
        <v>968631.69</v>
      </c>
      <c r="D64" s="724">
        <f>SUM(D62:D63)</f>
        <v>0</v>
      </c>
      <c r="E64" s="724">
        <f>SUM(E62:E63)</f>
        <v>959630.64999999991</v>
      </c>
      <c r="F64" s="724">
        <f>SUM(F62:F63)</f>
        <v>1</v>
      </c>
      <c r="G64" s="718">
        <f>SUM(G62:G63)</f>
        <v>9000.0400000000009</v>
      </c>
    </row>
    <row r="65" spans="2:7" x14ac:dyDescent="0.25">
      <c r="B65" s="733"/>
      <c r="C65" s="725"/>
      <c r="G65" s="729"/>
    </row>
    <row r="66" spans="2:7" outlineLevel="1" x14ac:dyDescent="0.25">
      <c r="B66" s="730" t="s">
        <v>106</v>
      </c>
      <c r="C66" s="725">
        <f>SUM(D66:G66)</f>
        <v>63145190</v>
      </c>
      <c r="D66" s="716">
        <v>-14586811</v>
      </c>
      <c r="E66" s="716">
        <v>77732001</v>
      </c>
      <c r="F66" s="747">
        <v>0</v>
      </c>
      <c r="G66" s="748">
        <v>0</v>
      </c>
    </row>
    <row r="67" spans="2:7" outlineLevel="1" x14ac:dyDescent="0.25">
      <c r="B67" s="738" t="s">
        <v>825</v>
      </c>
      <c r="C67" s="725">
        <f>SUM(D67:G67)</f>
        <v>-20523844.129999999</v>
      </c>
      <c r="D67" s="716">
        <v>0</v>
      </c>
      <c r="E67" s="716">
        <v>-20523844.129999999</v>
      </c>
      <c r="F67" s="757">
        <v>0</v>
      </c>
      <c r="G67" s="758">
        <v>0</v>
      </c>
    </row>
    <row r="68" spans="2:7" x14ac:dyDescent="0.25">
      <c r="B68" s="717" t="s">
        <v>106</v>
      </c>
      <c r="C68" s="724">
        <f>SUM(C66:C67)</f>
        <v>42621345.870000005</v>
      </c>
      <c r="D68" s="724">
        <f>SUM(D66:D67)</f>
        <v>-14586811</v>
      </c>
      <c r="E68" s="724">
        <f>SUM(E66:E67)</f>
        <v>57208156.870000005</v>
      </c>
      <c r="F68" s="724">
        <f>SUM(F66:F67)</f>
        <v>0</v>
      </c>
      <c r="G68" s="718">
        <f>SUM(G66:G67)</f>
        <v>0</v>
      </c>
    </row>
    <row r="69" spans="2:7" x14ac:dyDescent="0.25">
      <c r="B69" s="733"/>
      <c r="C69" s="725"/>
      <c r="G69" s="729"/>
    </row>
    <row r="70" spans="2:7" outlineLevel="1" x14ac:dyDescent="0.25">
      <c r="B70" s="730" t="s">
        <v>441</v>
      </c>
      <c r="C70" s="725">
        <f>SUM(D70:G70)</f>
        <v>813391.19</v>
      </c>
      <c r="D70" s="716">
        <v>0</v>
      </c>
      <c r="E70" s="716">
        <v>813391.19</v>
      </c>
      <c r="F70" s="716">
        <v>0</v>
      </c>
      <c r="G70" s="729">
        <v>0</v>
      </c>
    </row>
    <row r="71" spans="2:7" outlineLevel="1" x14ac:dyDescent="0.25">
      <c r="B71" s="738" t="s">
        <v>825</v>
      </c>
      <c r="C71" s="725">
        <f>SUM(D71:G71)</f>
        <v>-623242.73</v>
      </c>
      <c r="D71" s="716">
        <v>0</v>
      </c>
      <c r="E71" s="716">
        <v>-623242.73</v>
      </c>
      <c r="F71" s="716">
        <v>0</v>
      </c>
      <c r="G71" s="729">
        <v>0</v>
      </c>
    </row>
    <row r="72" spans="2:7" x14ac:dyDescent="0.25">
      <c r="B72" s="717" t="s">
        <v>441</v>
      </c>
      <c r="C72" s="724">
        <f>SUM(C70:C71)</f>
        <v>190148.45999999996</v>
      </c>
      <c r="D72" s="724">
        <f>SUM(D70:D71)</f>
        <v>0</v>
      </c>
      <c r="E72" s="724">
        <f>SUM(E70:E71)</f>
        <v>190148.45999999996</v>
      </c>
      <c r="F72" s="724">
        <f>SUM(F70:F71)</f>
        <v>0</v>
      </c>
      <c r="G72" s="718">
        <f>SUM(G70:G71)</f>
        <v>0</v>
      </c>
    </row>
    <row r="73" spans="2:7" x14ac:dyDescent="0.25">
      <c r="B73" s="733"/>
      <c r="C73" s="725"/>
      <c r="G73" s="729"/>
    </row>
    <row r="74" spans="2:7" x14ac:dyDescent="0.25">
      <c r="B74" s="717" t="s">
        <v>827</v>
      </c>
      <c r="C74" s="724">
        <f>SUM(D74:G74)</f>
        <v>21502181.879999999</v>
      </c>
      <c r="D74" s="724">
        <v>0</v>
      </c>
      <c r="E74" s="724">
        <f>22226616.11-724434.23</f>
        <v>21502181.879999999</v>
      </c>
      <c r="F74" s="724">
        <v>0</v>
      </c>
      <c r="G74" s="718">
        <v>0</v>
      </c>
    </row>
    <row r="75" spans="2:7" x14ac:dyDescent="0.25">
      <c r="B75" s="741"/>
      <c r="C75" s="759"/>
      <c r="D75" s="720"/>
      <c r="E75" s="720"/>
      <c r="F75" s="720"/>
      <c r="G75" s="732"/>
    </row>
    <row r="77" spans="2:7" x14ac:dyDescent="0.25">
      <c r="B77" s="755"/>
      <c r="C77" s="755"/>
      <c r="D77" s="755"/>
      <c r="E77" s="755"/>
      <c r="F77" s="755"/>
      <c r="G77" s="755"/>
    </row>
    <row r="79" spans="2:7" ht="16.5" thickBot="1" x14ac:dyDescent="0.3"/>
    <row r="80" spans="2:7" ht="21" thickBot="1" x14ac:dyDescent="0.35">
      <c r="B80" s="752" t="s">
        <v>831</v>
      </c>
      <c r="C80" s="753">
        <f>C83-C143</f>
        <v>92849825.380000055</v>
      </c>
    </row>
    <row r="82" spans="2:9" x14ac:dyDescent="0.25">
      <c r="C82" s="742" t="s">
        <v>813</v>
      </c>
      <c r="D82" s="743" t="s">
        <v>817</v>
      </c>
      <c r="E82" s="744" t="s">
        <v>948</v>
      </c>
      <c r="F82" s="744" t="s">
        <v>793</v>
      </c>
      <c r="G82" s="745" t="s">
        <v>950</v>
      </c>
    </row>
    <row r="83" spans="2:9" ht="20.25" x14ac:dyDescent="0.3">
      <c r="B83" s="736" t="s">
        <v>828</v>
      </c>
      <c r="C83" s="761">
        <f>C91+C98+C102+C107+C132+C138</f>
        <v>473617572.57000005</v>
      </c>
      <c r="D83" s="746" t="s">
        <v>826</v>
      </c>
      <c r="E83" s="734"/>
      <c r="F83" s="734"/>
      <c r="G83" s="735"/>
    </row>
    <row r="84" spans="2:9" x14ac:dyDescent="0.25">
      <c r="B84" s="728"/>
      <c r="G84" s="729"/>
    </row>
    <row r="85" spans="2:9" outlineLevel="1" x14ac:dyDescent="0.25">
      <c r="B85" s="730" t="s">
        <v>832</v>
      </c>
      <c r="C85" s="716">
        <f t="shared" ref="C85:C90" si="0">SUM(D85:G85)</f>
        <v>45546966.530000001</v>
      </c>
      <c r="E85" s="716">
        <v>45546966.530000001</v>
      </c>
      <c r="G85" s="729"/>
    </row>
    <row r="86" spans="2:9" outlineLevel="1" x14ac:dyDescent="0.25">
      <c r="B86" s="730" t="s">
        <v>833</v>
      </c>
      <c r="C86" s="716">
        <f t="shared" si="0"/>
        <v>58961796.289999999</v>
      </c>
      <c r="E86" s="716">
        <v>58961796.289999999</v>
      </c>
      <c r="G86" s="729"/>
    </row>
    <row r="87" spans="2:9" outlineLevel="1" x14ac:dyDescent="0.25">
      <c r="B87" s="730" t="s">
        <v>834</v>
      </c>
      <c r="C87" s="716">
        <f t="shared" si="0"/>
        <v>48946930.880000003</v>
      </c>
      <c r="E87" s="716">
        <v>48946930.880000003</v>
      </c>
      <c r="G87" s="729"/>
    </row>
    <row r="88" spans="2:9" outlineLevel="1" x14ac:dyDescent="0.25">
      <c r="B88" s="730" t="s">
        <v>835</v>
      </c>
      <c r="C88" s="716">
        <f t="shared" si="0"/>
        <v>88889303.829999998</v>
      </c>
      <c r="E88" s="716">
        <v>88889303.829999998</v>
      </c>
      <c r="G88" s="729"/>
    </row>
    <row r="89" spans="2:9" outlineLevel="1" x14ac:dyDescent="0.25">
      <c r="B89" s="730" t="s">
        <v>836</v>
      </c>
      <c r="C89" s="716">
        <f t="shared" si="0"/>
        <v>2818702.98</v>
      </c>
      <c r="E89" s="716">
        <v>2818702.98</v>
      </c>
      <c r="G89" s="729"/>
    </row>
    <row r="90" spans="2:9" outlineLevel="1" x14ac:dyDescent="0.25">
      <c r="B90" s="730" t="s">
        <v>832</v>
      </c>
      <c r="C90" s="716">
        <f t="shared" si="0"/>
        <v>5000000</v>
      </c>
      <c r="F90" s="716">
        <v>5000000</v>
      </c>
      <c r="G90" s="729"/>
    </row>
    <row r="91" spans="2:9" x14ac:dyDescent="0.25">
      <c r="B91" s="717" t="s">
        <v>110</v>
      </c>
      <c r="C91" s="724">
        <f>SUM(C85:C90)</f>
        <v>250163700.50999996</v>
      </c>
      <c r="D91" s="724">
        <f>SUM(D85:D90)</f>
        <v>0</v>
      </c>
      <c r="E91" s="724">
        <f>SUM(E85:E90)</f>
        <v>245163700.50999996</v>
      </c>
      <c r="F91" s="724">
        <f>SUM(F85:F90)</f>
        <v>5000000</v>
      </c>
      <c r="G91" s="718">
        <f>SUM(G85:G90)</f>
        <v>0</v>
      </c>
      <c r="I91" s="723"/>
    </row>
    <row r="92" spans="2:9" x14ac:dyDescent="0.25">
      <c r="B92" s="730"/>
      <c r="C92" s="719"/>
      <c r="D92" s="719"/>
      <c r="E92" s="719"/>
      <c r="F92" s="719"/>
      <c r="G92" s="729"/>
    </row>
    <row r="93" spans="2:9" outlineLevel="1" x14ac:dyDescent="0.25">
      <c r="B93" s="730" t="s">
        <v>841</v>
      </c>
      <c r="C93" s="719">
        <f>SUM(D93:G93)</f>
        <v>7503528.4400000004</v>
      </c>
      <c r="D93" s="719">
        <v>0</v>
      </c>
      <c r="E93" s="716">
        <v>7503528.4400000004</v>
      </c>
      <c r="F93" s="719"/>
      <c r="G93" s="740">
        <v>0</v>
      </c>
    </row>
    <row r="94" spans="2:9" outlineLevel="1" x14ac:dyDescent="0.25">
      <c r="B94" s="730" t="s">
        <v>842</v>
      </c>
      <c r="C94" s="719">
        <f>SUM(D94:G94)</f>
        <v>8888888.8800000008</v>
      </c>
      <c r="D94" s="719"/>
      <c r="E94" s="716">
        <v>8888888.8800000008</v>
      </c>
      <c r="F94" s="719"/>
      <c r="G94" s="740"/>
    </row>
    <row r="95" spans="2:9" outlineLevel="1" x14ac:dyDescent="0.25">
      <c r="B95" s="730" t="s">
        <v>843</v>
      </c>
      <c r="C95" s="719">
        <f>SUM(D95:G95)</f>
        <v>6097561.1600000001</v>
      </c>
      <c r="D95" s="719"/>
      <c r="E95" s="716">
        <v>6097561.1600000001</v>
      </c>
      <c r="F95" s="719"/>
      <c r="G95" s="740"/>
    </row>
    <row r="96" spans="2:9" outlineLevel="1" x14ac:dyDescent="0.25">
      <c r="B96" s="730" t="s">
        <v>837</v>
      </c>
      <c r="C96" s="719">
        <f>SUM(D96:G96)</f>
        <v>11473213</v>
      </c>
      <c r="D96" s="719"/>
      <c r="E96" s="716">
        <v>11473213</v>
      </c>
      <c r="F96" s="719"/>
      <c r="G96" s="740"/>
    </row>
    <row r="97" spans="2:9" outlineLevel="1" x14ac:dyDescent="0.25">
      <c r="B97" s="730" t="s">
        <v>844</v>
      </c>
      <c r="C97" s="719">
        <f>SUM(D97:G97)</f>
        <v>6269200</v>
      </c>
      <c r="D97" s="719"/>
      <c r="F97" s="716">
        <v>6269200</v>
      </c>
      <c r="G97" s="740"/>
    </row>
    <row r="98" spans="2:9" x14ac:dyDescent="0.25">
      <c r="B98" s="717" t="s">
        <v>838</v>
      </c>
      <c r="C98" s="724">
        <f>SUM(C93:C97)</f>
        <v>40232391.480000004</v>
      </c>
      <c r="D98" s="724">
        <v>0</v>
      </c>
      <c r="E98" s="724">
        <f>SUM(E93:E97)</f>
        <v>33963191.480000004</v>
      </c>
      <c r="F98" s="724">
        <f>SUM(F93:F97)</f>
        <v>6269200</v>
      </c>
      <c r="G98" s="718">
        <f>SUM(G93:G97)</f>
        <v>0</v>
      </c>
      <c r="I98" s="722"/>
    </row>
    <row r="99" spans="2:9" x14ac:dyDescent="0.25">
      <c r="B99" s="730"/>
      <c r="C99" s="719"/>
      <c r="D99" s="719"/>
      <c r="E99" s="719"/>
      <c r="F99" s="719"/>
      <c r="G99" s="729"/>
    </row>
    <row r="100" spans="2:9" outlineLevel="1" x14ac:dyDescent="0.25">
      <c r="B100" s="730" t="s">
        <v>839</v>
      </c>
      <c r="C100" s="719">
        <f>SUM(D100:G100)</f>
        <v>3651270.74</v>
      </c>
      <c r="D100" s="719">
        <v>-1050789</v>
      </c>
      <c r="E100" s="716">
        <v>4702059.74</v>
      </c>
      <c r="G100" s="729"/>
    </row>
    <row r="101" spans="2:9" outlineLevel="1" x14ac:dyDescent="0.25">
      <c r="B101" s="730" t="s">
        <v>839</v>
      </c>
      <c r="C101" s="719">
        <f>SUM(E101:G101)</f>
        <v>1893404.23</v>
      </c>
      <c r="D101" s="719">
        <v>0</v>
      </c>
      <c r="F101" s="716">
        <v>1893404.23</v>
      </c>
      <c r="G101" s="729"/>
    </row>
    <row r="102" spans="2:9" x14ac:dyDescent="0.25">
      <c r="B102" s="717" t="s">
        <v>840</v>
      </c>
      <c r="C102" s="724">
        <f>SUM(C100:C101)</f>
        <v>5544674.9700000007</v>
      </c>
      <c r="D102" s="724">
        <v>0</v>
      </c>
      <c r="E102" s="724">
        <f>SUM(E100:E101)</f>
        <v>4702059.74</v>
      </c>
      <c r="F102" s="724">
        <f>SUM(F100:F101)</f>
        <v>1893404.23</v>
      </c>
      <c r="G102" s="718">
        <f>SUM(G100:G101)</f>
        <v>0</v>
      </c>
    </row>
    <row r="103" spans="2:9" x14ac:dyDescent="0.25">
      <c r="B103" s="730"/>
      <c r="C103" s="719"/>
      <c r="D103" s="719"/>
      <c r="E103" s="719"/>
      <c r="F103" s="719"/>
      <c r="G103" s="729"/>
    </row>
    <row r="104" spans="2:9" outlineLevel="1" x14ac:dyDescent="0.25">
      <c r="B104" s="730" t="s">
        <v>594</v>
      </c>
      <c r="C104" s="716">
        <f>SUM(D104:G104)</f>
        <v>1226676.68</v>
      </c>
      <c r="E104" s="716">
        <v>1226676.68</v>
      </c>
      <c r="G104" s="729"/>
    </row>
    <row r="105" spans="2:9" outlineLevel="1" x14ac:dyDescent="0.25">
      <c r="B105" s="730" t="s">
        <v>594</v>
      </c>
      <c r="C105" s="716">
        <f>SUM(D105:G105)</f>
        <v>93540.98</v>
      </c>
      <c r="F105" s="716">
        <v>93540.98</v>
      </c>
      <c r="G105" s="729"/>
    </row>
    <row r="106" spans="2:9" outlineLevel="1" x14ac:dyDescent="0.25">
      <c r="B106" s="730" t="s">
        <v>594</v>
      </c>
      <c r="C106" s="716">
        <f>SUM(D106:G106)</f>
        <v>238924.38</v>
      </c>
      <c r="G106" s="729">
        <v>238924.38</v>
      </c>
    </row>
    <row r="107" spans="2:9" x14ac:dyDescent="0.25">
      <c r="B107" s="717" t="s">
        <v>845</v>
      </c>
      <c r="C107" s="724">
        <f>SUM(C104:C106)</f>
        <v>1559142.04</v>
      </c>
      <c r="D107" s="724">
        <f>SUM(D104:D106)</f>
        <v>0</v>
      </c>
      <c r="E107" s="724">
        <f>SUM(E104:E106)</f>
        <v>1226676.68</v>
      </c>
      <c r="F107" s="724">
        <f>SUM(F104:F106)</f>
        <v>93540.98</v>
      </c>
      <c r="G107" s="718">
        <f>SUM(G100:G106)</f>
        <v>238924.38</v>
      </c>
    </row>
    <row r="108" spans="2:9" x14ac:dyDescent="0.25">
      <c r="B108" s="733"/>
      <c r="C108" s="723"/>
      <c r="D108" s="719"/>
      <c r="E108" s="719"/>
      <c r="F108" s="719"/>
      <c r="G108" s="729"/>
    </row>
    <row r="109" spans="2:9" outlineLevel="1" x14ac:dyDescent="0.25">
      <c r="B109" s="730" t="s">
        <v>846</v>
      </c>
      <c r="C109" s="716">
        <f>SUM(D109:G109)</f>
        <v>683224.22</v>
      </c>
      <c r="E109" s="716">
        <v>452962.07</v>
      </c>
      <c r="F109" s="716">
        <v>72502.19</v>
      </c>
      <c r="G109" s="729">
        <v>157759.96</v>
      </c>
    </row>
    <row r="110" spans="2:9" outlineLevel="1" x14ac:dyDescent="0.25">
      <c r="B110" s="730" t="s">
        <v>847</v>
      </c>
      <c r="C110" s="716">
        <f>SUM(D110:G110)</f>
        <v>358609.77</v>
      </c>
      <c r="D110" s="716">
        <v>67822</v>
      </c>
      <c r="E110" s="716">
        <v>168405.3</v>
      </c>
      <c r="F110" s="716">
        <v>122382.47</v>
      </c>
      <c r="G110" s="729"/>
    </row>
    <row r="111" spans="2:9" outlineLevel="1" x14ac:dyDescent="0.25">
      <c r="B111" s="730" t="s">
        <v>848</v>
      </c>
      <c r="C111" s="716">
        <f t="shared" ref="C111:C131" si="1">SUM(D111:G111)</f>
        <v>741254.84</v>
      </c>
      <c r="E111" s="716">
        <v>655560.48</v>
      </c>
      <c r="F111" s="716">
        <v>85694.36</v>
      </c>
      <c r="G111" s="729"/>
    </row>
    <row r="112" spans="2:9" outlineLevel="1" x14ac:dyDescent="0.25">
      <c r="B112" s="730" t="s">
        <v>849</v>
      </c>
      <c r="C112" s="716">
        <f t="shared" si="1"/>
        <v>6675223.7400000002</v>
      </c>
      <c r="E112" s="716">
        <v>6362561.8300000001</v>
      </c>
      <c r="G112" s="729">
        <v>312661.90999999997</v>
      </c>
    </row>
    <row r="113" spans="2:7" outlineLevel="1" x14ac:dyDescent="0.25">
      <c r="B113" s="730" t="s">
        <v>850</v>
      </c>
      <c r="C113" s="716">
        <f t="shared" si="1"/>
        <v>1419.5300000000002</v>
      </c>
      <c r="E113" s="716">
        <v>-151.38</v>
      </c>
      <c r="F113" s="716">
        <v>1570.91</v>
      </c>
      <c r="G113" s="729"/>
    </row>
    <row r="114" spans="2:7" outlineLevel="1" x14ac:dyDescent="0.25">
      <c r="B114" s="730" t="s">
        <v>851</v>
      </c>
      <c r="C114" s="716">
        <f t="shared" si="1"/>
        <v>3364762.91</v>
      </c>
      <c r="E114" s="716">
        <v>1486456.64</v>
      </c>
      <c r="F114" s="716">
        <v>1774172.27</v>
      </c>
      <c r="G114" s="729">
        <v>104134</v>
      </c>
    </row>
    <row r="115" spans="2:7" outlineLevel="1" x14ac:dyDescent="0.25">
      <c r="B115" s="730" t="s">
        <v>852</v>
      </c>
      <c r="C115" s="716">
        <f t="shared" si="1"/>
        <v>1261474.8800000001</v>
      </c>
      <c r="E115" s="716">
        <v>627836.28</v>
      </c>
      <c r="F115" s="716">
        <v>259350.02</v>
      </c>
      <c r="G115" s="729">
        <v>374288.58</v>
      </c>
    </row>
    <row r="116" spans="2:7" outlineLevel="1" x14ac:dyDescent="0.25">
      <c r="B116" s="730" t="s">
        <v>853</v>
      </c>
      <c r="C116" s="716">
        <f t="shared" si="1"/>
        <v>4985107.1300000008</v>
      </c>
      <c r="E116" s="716">
        <v>3181702.99</v>
      </c>
      <c r="F116" s="716">
        <v>644918.87</v>
      </c>
      <c r="G116" s="729">
        <v>1158485.27</v>
      </c>
    </row>
    <row r="117" spans="2:7" outlineLevel="1" x14ac:dyDescent="0.25">
      <c r="B117" s="730" t="s">
        <v>854</v>
      </c>
      <c r="C117" s="716">
        <f t="shared" si="1"/>
        <v>31525.57</v>
      </c>
      <c r="E117" s="716">
        <v>31525.57</v>
      </c>
      <c r="G117" s="729"/>
    </row>
    <row r="118" spans="2:7" outlineLevel="1" x14ac:dyDescent="0.25">
      <c r="B118" s="730" t="s">
        <v>855</v>
      </c>
      <c r="C118" s="716">
        <f t="shared" si="1"/>
        <v>1565675.58</v>
      </c>
      <c r="E118" s="716">
        <v>1565675.58</v>
      </c>
      <c r="G118" s="729"/>
    </row>
    <row r="119" spans="2:7" outlineLevel="1" x14ac:dyDescent="0.25">
      <c r="B119" s="730" t="s">
        <v>856</v>
      </c>
      <c r="C119" s="716">
        <f t="shared" si="1"/>
        <v>2011248.83</v>
      </c>
      <c r="E119" s="716">
        <v>2011248.83</v>
      </c>
      <c r="G119" s="729"/>
    </row>
    <row r="120" spans="2:7" outlineLevel="1" x14ac:dyDescent="0.25">
      <c r="B120" s="730" t="s">
        <v>857</v>
      </c>
      <c r="C120" s="716">
        <f t="shared" si="1"/>
        <v>7321081.2800000003</v>
      </c>
      <c r="E120" s="716">
        <v>7258747.04</v>
      </c>
      <c r="G120" s="729">
        <v>62334.239999999998</v>
      </c>
    </row>
    <row r="121" spans="2:7" outlineLevel="1" x14ac:dyDescent="0.25">
      <c r="B121" s="730" t="s">
        <v>858</v>
      </c>
      <c r="C121" s="716">
        <f t="shared" si="1"/>
        <v>454180.68</v>
      </c>
      <c r="E121" s="716">
        <v>454180.68</v>
      </c>
      <c r="G121" s="729"/>
    </row>
    <row r="122" spans="2:7" outlineLevel="1" x14ac:dyDescent="0.25">
      <c r="B122" s="730" t="s">
        <v>859</v>
      </c>
      <c r="C122" s="716">
        <f t="shared" si="1"/>
        <v>1672.44</v>
      </c>
      <c r="E122" s="716">
        <v>1672.44</v>
      </c>
      <c r="G122" s="729"/>
    </row>
    <row r="123" spans="2:7" outlineLevel="1" x14ac:dyDescent="0.25">
      <c r="B123" s="730" t="s">
        <v>816</v>
      </c>
      <c r="C123" s="716">
        <f t="shared" si="1"/>
        <v>11475</v>
      </c>
      <c r="E123" s="716">
        <v>11475</v>
      </c>
      <c r="G123" s="729"/>
    </row>
    <row r="124" spans="2:7" outlineLevel="1" x14ac:dyDescent="0.25">
      <c r="B124" s="730" t="s">
        <v>860</v>
      </c>
      <c r="C124" s="716">
        <f t="shared" si="1"/>
        <v>227158.61000000002</v>
      </c>
      <c r="E124" s="716">
        <v>202233.76</v>
      </c>
      <c r="F124" s="716">
        <v>24924.85</v>
      </c>
      <c r="G124" s="729"/>
    </row>
    <row r="125" spans="2:7" outlineLevel="1" x14ac:dyDescent="0.25">
      <c r="B125" s="730" t="s">
        <v>861</v>
      </c>
      <c r="C125" s="716">
        <f t="shared" si="1"/>
        <v>180757.42</v>
      </c>
      <c r="E125" s="716">
        <v>180757.42</v>
      </c>
      <c r="G125" s="729"/>
    </row>
    <row r="126" spans="2:7" outlineLevel="1" x14ac:dyDescent="0.25">
      <c r="B126" s="730" t="s">
        <v>862</v>
      </c>
      <c r="C126" s="716">
        <f t="shared" si="1"/>
        <v>221353.41999999998</v>
      </c>
      <c r="E126" s="716">
        <v>197038.81</v>
      </c>
      <c r="F126" s="716">
        <v>24314.61</v>
      </c>
      <c r="G126" s="729"/>
    </row>
    <row r="127" spans="2:7" outlineLevel="1" x14ac:dyDescent="0.25">
      <c r="B127" s="730" t="s">
        <v>863</v>
      </c>
      <c r="C127" s="716">
        <f t="shared" si="1"/>
        <v>149815.79999999999</v>
      </c>
      <c r="E127" s="716">
        <v>149815.79999999999</v>
      </c>
      <c r="G127" s="729"/>
    </row>
    <row r="128" spans="2:7" outlineLevel="1" x14ac:dyDescent="0.25">
      <c r="B128" s="730" t="s">
        <v>864</v>
      </c>
      <c r="C128" s="716">
        <f t="shared" si="1"/>
        <v>324094.38</v>
      </c>
      <c r="E128" s="716">
        <v>324094.38</v>
      </c>
      <c r="G128" s="729"/>
    </row>
    <row r="129" spans="2:7" outlineLevel="1" x14ac:dyDescent="0.25">
      <c r="B129" s="730" t="s">
        <v>865</v>
      </c>
      <c r="C129" s="716">
        <f t="shared" si="1"/>
        <v>1818.14</v>
      </c>
      <c r="E129" s="716">
        <v>1818.14</v>
      </c>
      <c r="G129" s="729"/>
    </row>
    <row r="130" spans="2:7" outlineLevel="1" x14ac:dyDescent="0.25">
      <c r="B130" s="730" t="s">
        <v>866</v>
      </c>
      <c r="C130" s="716">
        <f t="shared" si="1"/>
        <v>182714.23999999999</v>
      </c>
      <c r="E130" s="716">
        <v>182714.23999999999</v>
      </c>
      <c r="G130" s="729"/>
    </row>
    <row r="131" spans="2:7" outlineLevel="1" x14ac:dyDescent="0.25">
      <c r="B131" s="730" t="s">
        <v>867</v>
      </c>
      <c r="C131" s="716">
        <f t="shared" si="1"/>
        <v>133488.18</v>
      </c>
      <c r="E131" s="716">
        <v>133488.18</v>
      </c>
      <c r="G131" s="729"/>
    </row>
    <row r="132" spans="2:7" x14ac:dyDescent="0.25">
      <c r="B132" s="717" t="s">
        <v>868</v>
      </c>
      <c r="C132" s="724">
        <f>SUM(C109:C131)</f>
        <v>30889136.590000004</v>
      </c>
      <c r="D132" s="724">
        <f>SUM(D109:D131)</f>
        <v>67822</v>
      </c>
      <c r="E132" s="724">
        <f>SUM(E109:E131)</f>
        <v>25641820.080000002</v>
      </c>
      <c r="F132" s="724">
        <f>SUM(F109:F131)</f>
        <v>3009830.55</v>
      </c>
      <c r="G132" s="718">
        <f>SUM(G109:G131)</f>
        <v>2169663.96</v>
      </c>
    </row>
    <row r="133" spans="2:7" x14ac:dyDescent="0.25">
      <c r="B133" s="733"/>
      <c r="C133" s="723"/>
      <c r="D133" s="719"/>
      <c r="E133" s="719"/>
      <c r="F133" s="719"/>
      <c r="G133" s="729"/>
    </row>
    <row r="134" spans="2:7" outlineLevel="1" x14ac:dyDescent="0.25">
      <c r="B134" s="730" t="s">
        <v>59</v>
      </c>
      <c r="C134" s="719">
        <f>SUM(E134:G134)</f>
        <v>151494697.24000001</v>
      </c>
      <c r="D134" s="716">
        <v>0</v>
      </c>
      <c r="E134" s="716">
        <v>151494697.24000001</v>
      </c>
      <c r="G134" s="729"/>
    </row>
    <row r="135" spans="2:7" outlineLevel="1" x14ac:dyDescent="0.25">
      <c r="B135" s="730" t="s">
        <v>59</v>
      </c>
      <c r="C135" s="719">
        <f>SUM(D135:G135)</f>
        <v>-8500689.2600000016</v>
      </c>
      <c r="D135" s="716">
        <v>-33997590</v>
      </c>
      <c r="F135" s="716">
        <v>25496900.739999998</v>
      </c>
      <c r="G135" s="729"/>
    </row>
    <row r="136" spans="2:7" outlineLevel="1" x14ac:dyDescent="0.25">
      <c r="B136" s="730" t="s">
        <v>59</v>
      </c>
      <c r="C136" s="719">
        <f>SUM(E136:G136)</f>
        <v>1492972.62</v>
      </c>
      <c r="G136" s="729">
        <v>1492972.62</v>
      </c>
    </row>
    <row r="137" spans="2:7" outlineLevel="1" x14ac:dyDescent="0.25">
      <c r="B137" s="730" t="s">
        <v>869</v>
      </c>
      <c r="C137" s="719">
        <f>SUM(E137:G137)</f>
        <v>741546.38</v>
      </c>
      <c r="D137" s="716">
        <v>0</v>
      </c>
      <c r="F137" s="716">
        <v>741546.38</v>
      </c>
      <c r="G137" s="729"/>
    </row>
    <row r="138" spans="2:7" x14ac:dyDescent="0.25">
      <c r="B138" s="717" t="s">
        <v>59</v>
      </c>
      <c r="C138" s="724">
        <f>SUM(C134:C137)</f>
        <v>145228526.98000002</v>
      </c>
      <c r="D138" s="724">
        <f>SUM(D133:D137)</f>
        <v>-33997590</v>
      </c>
      <c r="E138" s="724">
        <f>SUM(E133:E137)</f>
        <v>151494697.24000001</v>
      </c>
      <c r="F138" s="724">
        <f>SUM(F133:F137)</f>
        <v>26238447.119999997</v>
      </c>
      <c r="G138" s="718">
        <f>SUM(G133:G137)</f>
        <v>1492972.62</v>
      </c>
    </row>
    <row r="139" spans="2:7" x14ac:dyDescent="0.25">
      <c r="B139" s="731"/>
      <c r="C139" s="720"/>
      <c r="D139" s="720"/>
      <c r="E139" s="720"/>
      <c r="F139" s="720"/>
      <c r="G139" s="732"/>
    </row>
    <row r="142" spans="2:7" x14ac:dyDescent="0.25">
      <c r="C142" s="742" t="s">
        <v>813</v>
      </c>
      <c r="D142" s="743" t="s">
        <v>817</v>
      </c>
      <c r="E142" s="744" t="s">
        <v>948</v>
      </c>
      <c r="F142" s="744" t="s">
        <v>793</v>
      </c>
      <c r="G142" s="745" t="s">
        <v>950</v>
      </c>
    </row>
    <row r="143" spans="2:7" ht="20.25" x14ac:dyDescent="0.3">
      <c r="B143" s="736" t="s">
        <v>829</v>
      </c>
      <c r="C143" s="761">
        <f>C157+C161+C178+C219</f>
        <v>380767747.19</v>
      </c>
      <c r="D143" s="746" t="s">
        <v>826</v>
      </c>
      <c r="E143" s="734"/>
      <c r="F143" s="734"/>
      <c r="G143" s="735"/>
    </row>
    <row r="144" spans="2:7" outlineLevel="1" x14ac:dyDescent="0.25">
      <c r="B144" s="738" t="s">
        <v>870</v>
      </c>
      <c r="C144" s="725">
        <f>SUM(D144:G144)</f>
        <v>4016288.26</v>
      </c>
      <c r="E144" s="716">
        <v>1913078.57</v>
      </c>
      <c r="F144" s="716">
        <v>2103209.69</v>
      </c>
      <c r="G144" s="729">
        <v>0</v>
      </c>
    </row>
    <row r="145" spans="2:7" outlineLevel="1" x14ac:dyDescent="0.25">
      <c r="B145" s="738" t="s">
        <v>871</v>
      </c>
      <c r="C145" s="725">
        <f t="shared" ref="C145:C156" si="2">SUM(D145:G145)</f>
        <v>6141618.5099999998</v>
      </c>
      <c r="E145" s="716">
        <v>6141618.5099999998</v>
      </c>
      <c r="G145" s="729"/>
    </row>
    <row r="146" spans="2:7" outlineLevel="1" x14ac:dyDescent="0.25">
      <c r="B146" s="738" t="s">
        <v>872</v>
      </c>
      <c r="C146" s="725">
        <f t="shared" si="2"/>
        <v>17589869.489999998</v>
      </c>
      <c r="E146" s="716">
        <v>17589869.489999998</v>
      </c>
      <c r="G146" s="729"/>
    </row>
    <row r="147" spans="2:7" outlineLevel="1" x14ac:dyDescent="0.25">
      <c r="B147" s="738" t="s">
        <v>873</v>
      </c>
      <c r="C147" s="725">
        <f t="shared" si="2"/>
        <v>9155007.0199999996</v>
      </c>
      <c r="E147" s="716">
        <v>9051945.8300000001</v>
      </c>
      <c r="F147" s="716">
        <v>103061.19</v>
      </c>
      <c r="G147" s="729"/>
    </row>
    <row r="148" spans="2:7" outlineLevel="1" x14ac:dyDescent="0.25">
      <c r="B148" s="738" t="s">
        <v>874</v>
      </c>
      <c r="C148" s="725">
        <f t="shared" si="2"/>
        <v>36275770.590000004</v>
      </c>
      <c r="E148" s="716">
        <v>36275770.590000004</v>
      </c>
      <c r="G148" s="729"/>
    </row>
    <row r="149" spans="2:7" outlineLevel="1" x14ac:dyDescent="0.25">
      <c r="B149" s="738" t="s">
        <v>875</v>
      </c>
      <c r="C149" s="725">
        <f t="shared" si="2"/>
        <v>0</v>
      </c>
      <c r="G149" s="729"/>
    </row>
    <row r="150" spans="2:7" outlineLevel="1" x14ac:dyDescent="0.25">
      <c r="B150" s="738" t="s">
        <v>876</v>
      </c>
      <c r="C150" s="725">
        <f t="shared" si="2"/>
        <v>889419.5</v>
      </c>
      <c r="E150" s="716">
        <v>889419.5</v>
      </c>
      <c r="G150" s="729"/>
    </row>
    <row r="151" spans="2:7" outlineLevel="1" x14ac:dyDescent="0.25">
      <c r="B151" s="738" t="s">
        <v>881</v>
      </c>
      <c r="C151" s="725">
        <f t="shared" si="2"/>
        <v>907369.27</v>
      </c>
      <c r="E151" s="716">
        <v>814532.58</v>
      </c>
      <c r="F151" s="716">
        <v>92836.69</v>
      </c>
      <c r="G151" s="729"/>
    </row>
    <row r="152" spans="2:7" outlineLevel="1" x14ac:dyDescent="0.25">
      <c r="B152" s="738" t="s">
        <v>882</v>
      </c>
      <c r="C152" s="725">
        <f t="shared" si="2"/>
        <v>-818295.4</v>
      </c>
      <c r="E152" s="716">
        <v>-818295.9</v>
      </c>
      <c r="F152" s="716">
        <f>-135668.5+135669</f>
        <v>0.5</v>
      </c>
      <c r="G152" s="729"/>
    </row>
    <row r="153" spans="2:7" outlineLevel="1" x14ac:dyDescent="0.25">
      <c r="B153" s="738" t="s">
        <v>877</v>
      </c>
      <c r="C153" s="725">
        <f t="shared" si="2"/>
        <v>-4417107.3899999997</v>
      </c>
      <c r="E153" s="716">
        <v>-4417107.3899999997</v>
      </c>
      <c r="G153" s="729"/>
    </row>
    <row r="154" spans="2:7" outlineLevel="1" x14ac:dyDescent="0.25">
      <c r="B154" s="738" t="s">
        <v>878</v>
      </c>
      <c r="C154" s="725">
        <f t="shared" si="2"/>
        <v>4417107.3899999997</v>
      </c>
      <c r="E154" s="716">
        <v>4417107.3899999997</v>
      </c>
      <c r="G154" s="729"/>
    </row>
    <row r="155" spans="2:7" outlineLevel="1" x14ac:dyDescent="0.25">
      <c r="B155" s="738" t="s">
        <v>879</v>
      </c>
      <c r="C155" s="725">
        <f t="shared" si="2"/>
        <v>3763.33</v>
      </c>
      <c r="E155" s="716">
        <v>3763.33</v>
      </c>
      <c r="G155" s="729"/>
    </row>
    <row r="156" spans="2:7" outlineLevel="1" x14ac:dyDescent="0.25">
      <c r="B156" s="738" t="s">
        <v>880</v>
      </c>
      <c r="C156" s="725">
        <f t="shared" si="2"/>
        <v>-7979836.9400000004</v>
      </c>
      <c r="E156" s="716">
        <v>-7979836.9400000004</v>
      </c>
      <c r="G156" s="729"/>
    </row>
    <row r="157" spans="2:7" x14ac:dyDescent="0.25">
      <c r="B157" s="717" t="s">
        <v>49</v>
      </c>
      <c r="C157" s="724">
        <f>SUM(C144:C156)</f>
        <v>66180973.629999995</v>
      </c>
      <c r="D157" s="724">
        <f>SUM(D144:D156)</f>
        <v>0</v>
      </c>
      <c r="E157" s="724">
        <f>SUM(E144:E156)</f>
        <v>63881865.560000002</v>
      </c>
      <c r="F157" s="724">
        <f>SUM(F144:F156)</f>
        <v>2299108.0699999998</v>
      </c>
      <c r="G157" s="718">
        <f>SUM(G144:G156)</f>
        <v>0</v>
      </c>
    </row>
    <row r="158" spans="2:7" x14ac:dyDescent="0.25">
      <c r="B158" s="738"/>
      <c r="C158" s="725"/>
      <c r="G158" s="729"/>
    </row>
    <row r="159" spans="2:7" outlineLevel="1" x14ac:dyDescent="0.25">
      <c r="B159" s="738" t="s">
        <v>50</v>
      </c>
      <c r="C159" s="725">
        <f>SUM(D159:G159)</f>
        <v>276339006.00999999</v>
      </c>
      <c r="D159" s="716">
        <v>-33997590</v>
      </c>
      <c r="E159" s="716">
        <v>273827294.05000001</v>
      </c>
      <c r="F159" s="716">
        <v>21564899.440000001</v>
      </c>
      <c r="G159" s="760">
        <v>14944402.52</v>
      </c>
    </row>
    <row r="160" spans="2:7" outlineLevel="1" x14ac:dyDescent="0.25">
      <c r="B160" s="738" t="s">
        <v>883</v>
      </c>
      <c r="C160" s="725">
        <f>SUM(D160:G160)</f>
        <v>-12386755.220000001</v>
      </c>
      <c r="E160" s="716">
        <v>-12386755.220000001</v>
      </c>
      <c r="G160" s="729">
        <v>0</v>
      </c>
    </row>
    <row r="161" spans="2:11" x14ac:dyDescent="0.25">
      <c r="B161" s="717" t="s">
        <v>50</v>
      </c>
      <c r="C161" s="724">
        <f>SUM(C159:C160)</f>
        <v>263952250.78999999</v>
      </c>
      <c r="D161" s="724">
        <f>SUM(D159:D160)</f>
        <v>-33997590</v>
      </c>
      <c r="E161" s="724">
        <f>SUM(E159:E160)</f>
        <v>261440538.83000001</v>
      </c>
      <c r="F161" s="724">
        <f>SUM(F159:F160)</f>
        <v>21564899.440000001</v>
      </c>
      <c r="G161" s="718">
        <f>SUM(G159:G160)</f>
        <v>14944402.52</v>
      </c>
    </row>
    <row r="162" spans="2:11" x14ac:dyDescent="0.25">
      <c r="B162" s="738"/>
      <c r="C162" s="725"/>
      <c r="G162" s="729"/>
      <c r="K162" s="756"/>
    </row>
    <row r="163" spans="2:11" outlineLevel="1" x14ac:dyDescent="0.25">
      <c r="B163" s="730" t="s">
        <v>884</v>
      </c>
      <c r="C163" s="725">
        <f t="shared" ref="C163:C176" si="3">SUM(D163:G163)</f>
        <v>5275360.5299999993</v>
      </c>
      <c r="E163" s="716">
        <v>5223832.97</v>
      </c>
      <c r="F163" s="716">
        <v>51527.56</v>
      </c>
      <c r="G163" s="729"/>
      <c r="K163" s="756"/>
    </row>
    <row r="164" spans="2:11" outlineLevel="1" x14ac:dyDescent="0.25">
      <c r="B164" s="730" t="s">
        <v>885</v>
      </c>
      <c r="C164" s="725">
        <f t="shared" si="3"/>
        <v>1012500</v>
      </c>
      <c r="E164" s="716">
        <v>1012500</v>
      </c>
      <c r="G164" s="729"/>
      <c r="K164" s="756"/>
    </row>
    <row r="165" spans="2:11" outlineLevel="1" x14ac:dyDescent="0.25">
      <c r="B165" s="730" t="s">
        <v>886</v>
      </c>
      <c r="C165" s="725">
        <f t="shared" si="3"/>
        <v>556714.43999999994</v>
      </c>
      <c r="E165" s="716">
        <v>556714.43999999994</v>
      </c>
      <c r="G165" s="729"/>
      <c r="K165" s="756"/>
    </row>
    <row r="166" spans="2:11" outlineLevel="1" x14ac:dyDescent="0.25">
      <c r="B166" s="730" t="s">
        <v>887</v>
      </c>
      <c r="C166" s="725">
        <f>SUM(D166:G166)</f>
        <v>80871.28</v>
      </c>
      <c r="E166" s="716">
        <v>60796.82</v>
      </c>
      <c r="G166" s="729">
        <v>20074.46</v>
      </c>
      <c r="K166" s="756"/>
    </row>
    <row r="167" spans="2:11" outlineLevel="1" x14ac:dyDescent="0.25">
      <c r="B167" s="730" t="s">
        <v>888</v>
      </c>
      <c r="C167" s="725">
        <f t="shared" si="3"/>
        <v>735937.67</v>
      </c>
      <c r="E167" s="716">
        <v>150275.67000000001</v>
      </c>
      <c r="F167" s="716">
        <v>585662</v>
      </c>
      <c r="G167" s="729"/>
      <c r="K167" s="756"/>
    </row>
    <row r="168" spans="2:11" outlineLevel="1" x14ac:dyDescent="0.25">
      <c r="B168" s="730" t="s">
        <v>889</v>
      </c>
      <c r="C168" s="725">
        <f t="shared" si="3"/>
        <v>45707</v>
      </c>
      <c r="E168" s="716">
        <v>45707</v>
      </c>
      <c r="G168" s="729"/>
    </row>
    <row r="169" spans="2:11" outlineLevel="1" x14ac:dyDescent="0.25">
      <c r="B169" s="730" t="s">
        <v>890</v>
      </c>
      <c r="C169" s="725">
        <f>SUM(D169:G169)</f>
        <v>380034.44</v>
      </c>
      <c r="E169" s="716">
        <v>3596.62</v>
      </c>
      <c r="F169" s="716">
        <v>374830.4</v>
      </c>
      <c r="G169" s="729">
        <v>1607.42</v>
      </c>
    </row>
    <row r="170" spans="2:11" outlineLevel="1" x14ac:dyDescent="0.25">
      <c r="B170" s="730" t="s">
        <v>891</v>
      </c>
      <c r="C170" s="725">
        <f>SUM(D170:G170)</f>
        <v>6027438.5800000001</v>
      </c>
      <c r="E170" s="716">
        <v>3850019.69</v>
      </c>
      <c r="F170" s="716">
        <v>732464.48</v>
      </c>
      <c r="G170" s="729">
        <v>1444954.41</v>
      </c>
    </row>
    <row r="171" spans="2:11" outlineLevel="1" x14ac:dyDescent="0.25">
      <c r="B171" s="730" t="s">
        <v>892</v>
      </c>
      <c r="C171" s="725">
        <f>SUM(D171:G171)</f>
        <v>4606430.6399999997</v>
      </c>
      <c r="E171" s="716">
        <v>2813094.17</v>
      </c>
      <c r="F171" s="716">
        <v>1039982.39</v>
      </c>
      <c r="G171" s="729">
        <v>753354.08</v>
      </c>
    </row>
    <row r="172" spans="2:11" outlineLevel="1" x14ac:dyDescent="0.25">
      <c r="B172" s="730" t="s">
        <v>893</v>
      </c>
      <c r="C172" s="725">
        <f>SUM(D172:G172)</f>
        <v>19653717.23</v>
      </c>
      <c r="E172" s="716">
        <v>11348656.42</v>
      </c>
      <c r="F172" s="716">
        <v>8300265.0099999998</v>
      </c>
      <c r="G172" s="729">
        <v>4795.8</v>
      </c>
    </row>
    <row r="173" spans="2:11" outlineLevel="1" x14ac:dyDescent="0.25">
      <c r="B173" s="730" t="s">
        <v>894</v>
      </c>
      <c r="C173" s="725">
        <f>SUM(D173:G173)</f>
        <v>-39702.04</v>
      </c>
      <c r="E173" s="716">
        <v>-10860</v>
      </c>
      <c r="F173" s="716">
        <v>-28842.04</v>
      </c>
      <c r="G173" s="729"/>
    </row>
    <row r="174" spans="2:11" outlineLevel="1" x14ac:dyDescent="0.25">
      <c r="B174" s="730" t="s">
        <v>895</v>
      </c>
      <c r="C174" s="725">
        <f t="shared" si="3"/>
        <v>61662.5</v>
      </c>
      <c r="E174" s="716">
        <v>61662.5</v>
      </c>
      <c r="G174" s="729"/>
    </row>
    <row r="175" spans="2:11" outlineLevel="1" x14ac:dyDescent="0.25">
      <c r="B175" s="730" t="s">
        <v>896</v>
      </c>
      <c r="C175" s="725">
        <f t="shared" si="3"/>
        <v>7806781.1100000003</v>
      </c>
      <c r="E175" s="716">
        <v>7806781.1100000003</v>
      </c>
      <c r="G175" s="729"/>
    </row>
    <row r="176" spans="2:11" outlineLevel="1" x14ac:dyDescent="0.25">
      <c r="B176" s="738" t="s">
        <v>939</v>
      </c>
      <c r="C176" s="725">
        <f t="shared" si="3"/>
        <v>187796</v>
      </c>
      <c r="F176" s="716">
        <f>3025+184771</f>
        <v>187796</v>
      </c>
      <c r="G176" s="729"/>
    </row>
    <row r="177" spans="2:7" outlineLevel="1" x14ac:dyDescent="0.25">
      <c r="B177" s="738" t="s">
        <v>897</v>
      </c>
      <c r="C177" s="725">
        <f>SUM(D177:G177)</f>
        <v>79873.210000000006</v>
      </c>
      <c r="G177" s="729">
        <v>79873.210000000006</v>
      </c>
    </row>
    <row r="178" spans="2:7" x14ac:dyDescent="0.25">
      <c r="B178" s="717" t="s">
        <v>898</v>
      </c>
      <c r="C178" s="724">
        <f>SUM(C163:C177)</f>
        <v>46471122.590000004</v>
      </c>
      <c r="D178" s="724">
        <f>SUM(D163:D177)</f>
        <v>0</v>
      </c>
      <c r="E178" s="724">
        <f>SUM(E163:E177)</f>
        <v>32922777.41</v>
      </c>
      <c r="F178" s="724">
        <f>SUM(F163:F177)</f>
        <v>11243685.800000001</v>
      </c>
      <c r="G178" s="718">
        <f>SUM(G163:G177)</f>
        <v>2304659.3799999994</v>
      </c>
    </row>
    <row r="179" spans="2:7" x14ac:dyDescent="0.25">
      <c r="B179" s="738"/>
      <c r="C179" s="725"/>
      <c r="G179" s="729"/>
    </row>
    <row r="180" spans="2:7" hidden="1" outlineLevel="1" x14ac:dyDescent="0.25">
      <c r="B180" s="738" t="s">
        <v>899</v>
      </c>
      <c r="C180" s="725">
        <f t="shared" ref="C180:C218" si="4">SUM(D180:G180)</f>
        <v>494762.69</v>
      </c>
      <c r="D180" s="719"/>
      <c r="E180" s="719">
        <v>2838</v>
      </c>
      <c r="F180" s="716">
        <v>491924.69</v>
      </c>
      <c r="G180" s="729"/>
    </row>
    <row r="181" spans="2:7" hidden="1" outlineLevel="1" x14ac:dyDescent="0.25">
      <c r="B181" s="738" t="s">
        <v>900</v>
      </c>
      <c r="C181" s="725">
        <f t="shared" si="4"/>
        <v>120547.52</v>
      </c>
      <c r="D181" s="719"/>
      <c r="E181" s="719">
        <v>120547.52</v>
      </c>
      <c r="F181" s="719"/>
      <c r="G181" s="729"/>
    </row>
    <row r="182" spans="2:7" hidden="1" outlineLevel="1" x14ac:dyDescent="0.25">
      <c r="B182" s="738" t="s">
        <v>926</v>
      </c>
      <c r="C182" s="725">
        <f t="shared" si="4"/>
        <v>574747.76</v>
      </c>
      <c r="D182" s="719"/>
      <c r="E182" s="719"/>
      <c r="F182" s="716">
        <v>574747.76</v>
      </c>
      <c r="G182" s="729"/>
    </row>
    <row r="183" spans="2:7" hidden="1" outlineLevel="1" x14ac:dyDescent="0.25">
      <c r="B183" s="738" t="s">
        <v>927</v>
      </c>
      <c r="C183" s="725">
        <f t="shared" si="4"/>
        <v>171.6</v>
      </c>
      <c r="D183" s="719"/>
      <c r="E183" s="719"/>
      <c r="F183" s="716">
        <v>171.6</v>
      </c>
      <c r="G183" s="729"/>
    </row>
    <row r="184" spans="2:7" hidden="1" outlineLevel="1" x14ac:dyDescent="0.25">
      <c r="B184" s="738" t="s">
        <v>928</v>
      </c>
      <c r="C184" s="725">
        <f t="shared" si="4"/>
        <v>1822.15</v>
      </c>
      <c r="D184" s="719"/>
      <c r="E184" s="719"/>
      <c r="F184" s="716">
        <v>1822.15</v>
      </c>
      <c r="G184" s="729"/>
    </row>
    <row r="185" spans="2:7" hidden="1" outlineLevel="1" x14ac:dyDescent="0.25">
      <c r="B185" s="738" t="s">
        <v>929</v>
      </c>
      <c r="C185" s="725">
        <f t="shared" si="4"/>
        <v>51.22</v>
      </c>
      <c r="D185" s="719"/>
      <c r="E185" s="719"/>
      <c r="F185" s="716">
        <v>51.22</v>
      </c>
      <c r="G185" s="729"/>
    </row>
    <row r="186" spans="2:7" hidden="1" outlineLevel="1" x14ac:dyDescent="0.25">
      <c r="B186" s="738" t="s">
        <v>930</v>
      </c>
      <c r="C186" s="725">
        <f t="shared" si="4"/>
        <v>3546.85</v>
      </c>
      <c r="D186" s="719"/>
      <c r="E186" s="719"/>
      <c r="F186" s="716">
        <v>3546.85</v>
      </c>
      <c r="G186" s="729"/>
    </row>
    <row r="187" spans="2:7" hidden="1" outlineLevel="1" x14ac:dyDescent="0.25">
      <c r="B187" s="738" t="s">
        <v>931</v>
      </c>
      <c r="C187" s="725">
        <f t="shared" si="4"/>
        <v>8.7799999999999994</v>
      </c>
      <c r="D187" s="719"/>
      <c r="E187" s="719"/>
      <c r="F187" s="716">
        <v>8.7799999999999994</v>
      </c>
      <c r="G187" s="729"/>
    </row>
    <row r="188" spans="2:7" hidden="1" outlineLevel="1" x14ac:dyDescent="0.25">
      <c r="B188" s="738" t="s">
        <v>932</v>
      </c>
      <c r="C188" s="725">
        <f t="shared" si="4"/>
        <v>272.13</v>
      </c>
      <c r="D188" s="719"/>
      <c r="E188" s="719"/>
      <c r="F188" s="716">
        <v>272.13</v>
      </c>
      <c r="G188" s="729"/>
    </row>
    <row r="189" spans="2:7" hidden="1" outlineLevel="1" x14ac:dyDescent="0.25">
      <c r="B189" s="738" t="s">
        <v>933</v>
      </c>
      <c r="C189" s="725">
        <f t="shared" si="4"/>
        <v>325.64999999999998</v>
      </c>
      <c r="D189" s="719"/>
      <c r="E189" s="719"/>
      <c r="F189" s="716">
        <v>325.64999999999998</v>
      </c>
      <c r="G189" s="729"/>
    </row>
    <row r="190" spans="2:7" hidden="1" outlineLevel="1" x14ac:dyDescent="0.25">
      <c r="B190" s="738" t="s">
        <v>934</v>
      </c>
      <c r="C190" s="725">
        <f t="shared" si="4"/>
        <v>387.67</v>
      </c>
      <c r="D190" s="719"/>
      <c r="E190" s="719"/>
      <c r="F190" s="716">
        <v>387.67</v>
      </c>
      <c r="G190" s="729"/>
    </row>
    <row r="191" spans="2:7" hidden="1" outlineLevel="1" x14ac:dyDescent="0.25">
      <c r="B191" s="738" t="s">
        <v>935</v>
      </c>
      <c r="C191" s="725">
        <f t="shared" si="4"/>
        <v>41269.75</v>
      </c>
      <c r="D191" s="719"/>
      <c r="E191" s="719"/>
      <c r="F191" s="716">
        <v>41269.75</v>
      </c>
      <c r="G191" s="729"/>
    </row>
    <row r="192" spans="2:7" hidden="1" outlineLevel="1" x14ac:dyDescent="0.25">
      <c r="B192" s="738" t="s">
        <v>936</v>
      </c>
      <c r="C192" s="725">
        <f t="shared" si="4"/>
        <v>137383.47</v>
      </c>
      <c r="D192" s="719"/>
      <c r="E192" s="719"/>
      <c r="G192" s="729">
        <v>137383.47</v>
      </c>
    </row>
    <row r="193" spans="2:7" hidden="1" outlineLevel="1" x14ac:dyDescent="0.25">
      <c r="B193" s="738" t="s">
        <v>937</v>
      </c>
      <c r="C193" s="725">
        <f t="shared" si="4"/>
        <v>110690.08</v>
      </c>
      <c r="D193" s="719"/>
      <c r="E193" s="719"/>
      <c r="G193" s="729">
        <v>110690.08</v>
      </c>
    </row>
    <row r="194" spans="2:7" hidden="1" outlineLevel="1" x14ac:dyDescent="0.25">
      <c r="B194" s="738" t="s">
        <v>938</v>
      </c>
      <c r="C194" s="725">
        <f t="shared" si="4"/>
        <v>2256.11</v>
      </c>
      <c r="D194" s="719"/>
      <c r="E194" s="719"/>
      <c r="G194" s="729">
        <v>2256.11</v>
      </c>
    </row>
    <row r="195" spans="2:7" hidden="1" outlineLevel="1" x14ac:dyDescent="0.25">
      <c r="B195" s="738" t="s">
        <v>901</v>
      </c>
      <c r="C195" s="725">
        <f t="shared" si="4"/>
        <v>677.93</v>
      </c>
      <c r="D195" s="719"/>
      <c r="E195" s="719">
        <v>677.93</v>
      </c>
      <c r="F195" s="719"/>
      <c r="G195" s="729"/>
    </row>
    <row r="196" spans="2:7" hidden="1" outlineLevel="1" x14ac:dyDescent="0.25">
      <c r="B196" s="738" t="s">
        <v>902</v>
      </c>
      <c r="C196" s="725">
        <f t="shared" si="4"/>
        <v>54448</v>
      </c>
      <c r="D196" s="719"/>
      <c r="E196" s="719">
        <v>54448</v>
      </c>
      <c r="F196" s="719"/>
      <c r="G196" s="729"/>
    </row>
    <row r="197" spans="2:7" hidden="1" outlineLevel="1" x14ac:dyDescent="0.25">
      <c r="B197" s="738" t="s">
        <v>903</v>
      </c>
      <c r="C197" s="725">
        <f t="shared" si="4"/>
        <v>58562.89</v>
      </c>
      <c r="D197" s="719"/>
      <c r="E197" s="719">
        <v>58562.89</v>
      </c>
      <c r="F197" s="719"/>
      <c r="G197" s="729"/>
    </row>
    <row r="198" spans="2:7" hidden="1" outlineLevel="1" x14ac:dyDescent="0.25">
      <c r="B198" s="738" t="s">
        <v>904</v>
      </c>
      <c r="C198" s="725">
        <f t="shared" si="4"/>
        <v>3.04</v>
      </c>
      <c r="D198" s="719"/>
      <c r="E198" s="719">
        <v>3.04</v>
      </c>
      <c r="F198" s="719"/>
      <c r="G198" s="729"/>
    </row>
    <row r="199" spans="2:7" hidden="1" outlineLevel="1" x14ac:dyDescent="0.25">
      <c r="B199" s="738" t="s">
        <v>905</v>
      </c>
      <c r="C199" s="725">
        <f t="shared" si="4"/>
        <v>5000</v>
      </c>
      <c r="D199" s="719"/>
      <c r="E199" s="719">
        <v>5000</v>
      </c>
      <c r="F199" s="719"/>
      <c r="G199" s="729"/>
    </row>
    <row r="200" spans="2:7" hidden="1" outlineLevel="1" x14ac:dyDescent="0.25">
      <c r="B200" s="738" t="s">
        <v>906</v>
      </c>
      <c r="C200" s="725">
        <f t="shared" si="4"/>
        <v>1405.27</v>
      </c>
      <c r="D200" s="719"/>
      <c r="E200" s="719">
        <v>1405.27</v>
      </c>
      <c r="F200" s="719"/>
      <c r="G200" s="729"/>
    </row>
    <row r="201" spans="2:7" hidden="1" outlineLevel="1" x14ac:dyDescent="0.25">
      <c r="B201" s="738" t="s">
        <v>907</v>
      </c>
      <c r="C201" s="725">
        <f t="shared" si="4"/>
        <v>9256.1</v>
      </c>
      <c r="D201" s="719"/>
      <c r="E201" s="719">
        <v>9256.1</v>
      </c>
      <c r="F201" s="719"/>
      <c r="G201" s="729"/>
    </row>
    <row r="202" spans="2:7" hidden="1" outlineLevel="1" x14ac:dyDescent="0.25">
      <c r="B202" s="738" t="s">
        <v>908</v>
      </c>
      <c r="C202" s="725">
        <f t="shared" si="4"/>
        <v>74731.27</v>
      </c>
      <c r="D202" s="719"/>
      <c r="E202" s="719">
        <v>74731.27</v>
      </c>
      <c r="F202" s="719"/>
      <c r="G202" s="729"/>
    </row>
    <row r="203" spans="2:7" hidden="1" outlineLevel="1" x14ac:dyDescent="0.25">
      <c r="B203" s="738" t="s">
        <v>909</v>
      </c>
      <c r="C203" s="725">
        <f t="shared" si="4"/>
        <v>3039.98</v>
      </c>
      <c r="D203" s="719"/>
      <c r="E203" s="719">
        <v>3039.98</v>
      </c>
      <c r="F203" s="719"/>
      <c r="G203" s="729"/>
    </row>
    <row r="204" spans="2:7" hidden="1" outlineLevel="1" x14ac:dyDescent="0.25">
      <c r="B204" s="738" t="s">
        <v>910</v>
      </c>
      <c r="C204" s="725">
        <f t="shared" si="4"/>
        <v>10374.09</v>
      </c>
      <c r="D204" s="719"/>
      <c r="E204" s="719">
        <v>10374.09</v>
      </c>
      <c r="F204" s="719"/>
      <c r="G204" s="729"/>
    </row>
    <row r="205" spans="2:7" hidden="1" outlineLevel="1" x14ac:dyDescent="0.25">
      <c r="B205" s="738" t="s">
        <v>911</v>
      </c>
      <c r="C205" s="725">
        <f t="shared" si="4"/>
        <v>68272.81</v>
      </c>
      <c r="D205" s="719"/>
      <c r="E205" s="719">
        <v>68272.81</v>
      </c>
      <c r="F205" s="719"/>
      <c r="G205" s="729"/>
    </row>
    <row r="206" spans="2:7" hidden="1" outlineLevel="1" x14ac:dyDescent="0.25">
      <c r="B206" s="738" t="s">
        <v>912</v>
      </c>
      <c r="C206" s="725">
        <f t="shared" si="4"/>
        <v>37047.9</v>
      </c>
      <c r="D206" s="719"/>
      <c r="E206" s="719">
        <v>37047.9</v>
      </c>
      <c r="F206" s="719"/>
      <c r="G206" s="729"/>
    </row>
    <row r="207" spans="2:7" hidden="1" outlineLevel="1" x14ac:dyDescent="0.25">
      <c r="B207" s="738" t="s">
        <v>913</v>
      </c>
      <c r="C207" s="725">
        <f t="shared" si="4"/>
        <v>166526.82</v>
      </c>
      <c r="D207" s="719"/>
      <c r="E207" s="719">
        <v>166526.82</v>
      </c>
      <c r="F207" s="719"/>
      <c r="G207" s="729"/>
    </row>
    <row r="208" spans="2:7" hidden="1" outlineLevel="1" x14ac:dyDescent="0.25">
      <c r="B208" s="738" t="s">
        <v>914</v>
      </c>
      <c r="C208" s="725">
        <f t="shared" si="4"/>
        <v>26891.95</v>
      </c>
      <c r="D208" s="719"/>
      <c r="E208" s="719">
        <v>26891.95</v>
      </c>
      <c r="F208" s="719"/>
      <c r="G208" s="729"/>
    </row>
    <row r="209" spans="2:7" hidden="1" outlineLevel="1" x14ac:dyDescent="0.25">
      <c r="B209" s="738" t="s">
        <v>915</v>
      </c>
      <c r="C209" s="725">
        <f t="shared" si="4"/>
        <v>5000</v>
      </c>
      <c r="D209" s="719"/>
      <c r="E209" s="719">
        <v>5000</v>
      </c>
      <c r="F209" s="719"/>
      <c r="G209" s="729"/>
    </row>
    <row r="210" spans="2:7" hidden="1" outlineLevel="1" x14ac:dyDescent="0.25">
      <c r="B210" s="738" t="s">
        <v>916</v>
      </c>
      <c r="C210" s="725">
        <f t="shared" si="4"/>
        <v>23469.09</v>
      </c>
      <c r="D210" s="719"/>
      <c r="E210" s="719">
        <v>23469.09</v>
      </c>
      <c r="F210" s="719"/>
      <c r="G210" s="729"/>
    </row>
    <row r="211" spans="2:7" hidden="1" outlineLevel="1" x14ac:dyDescent="0.25">
      <c r="B211" s="738" t="s">
        <v>917</v>
      </c>
      <c r="C211" s="725">
        <f t="shared" si="4"/>
        <v>1003082.26</v>
      </c>
      <c r="D211" s="719"/>
      <c r="E211" s="719">
        <v>1003082.26</v>
      </c>
      <c r="F211" s="719"/>
      <c r="G211" s="729"/>
    </row>
    <row r="212" spans="2:7" hidden="1" outlineLevel="1" x14ac:dyDescent="0.25">
      <c r="B212" s="738" t="s">
        <v>918</v>
      </c>
      <c r="C212" s="725">
        <f t="shared" si="4"/>
        <v>162743.25</v>
      </c>
      <c r="D212" s="719"/>
      <c r="E212" s="719">
        <v>162743.25</v>
      </c>
      <c r="F212" s="719"/>
      <c r="G212" s="729"/>
    </row>
    <row r="213" spans="2:7" hidden="1" outlineLevel="1" x14ac:dyDescent="0.25">
      <c r="B213" s="738" t="s">
        <v>919</v>
      </c>
      <c r="C213" s="725">
        <f t="shared" si="4"/>
        <v>2806.93</v>
      </c>
      <c r="D213" s="719"/>
      <c r="E213" s="719">
        <v>2806.93</v>
      </c>
      <c r="F213" s="719"/>
      <c r="G213" s="729"/>
    </row>
    <row r="214" spans="2:7" hidden="1" outlineLevel="1" x14ac:dyDescent="0.25">
      <c r="B214" s="738" t="s">
        <v>920</v>
      </c>
      <c r="C214" s="725">
        <f t="shared" si="4"/>
        <v>0</v>
      </c>
      <c r="D214" s="719"/>
      <c r="E214" s="719"/>
      <c r="F214" s="719"/>
      <c r="G214" s="729"/>
    </row>
    <row r="215" spans="2:7" hidden="1" outlineLevel="1" x14ac:dyDescent="0.25">
      <c r="B215" s="738" t="s">
        <v>921</v>
      </c>
      <c r="C215" s="725">
        <f t="shared" si="4"/>
        <v>22442.2</v>
      </c>
      <c r="D215" s="719"/>
      <c r="E215" s="719">
        <v>22442.2</v>
      </c>
      <c r="F215" s="719"/>
      <c r="G215" s="729"/>
    </row>
    <row r="216" spans="2:7" hidden="1" outlineLevel="1" x14ac:dyDescent="0.25">
      <c r="B216" s="738" t="s">
        <v>922</v>
      </c>
      <c r="C216" s="725">
        <f t="shared" si="4"/>
        <v>201606.18</v>
      </c>
      <c r="D216" s="719"/>
      <c r="E216" s="719">
        <v>201606.18</v>
      </c>
      <c r="F216" s="719"/>
      <c r="G216" s="729"/>
    </row>
    <row r="217" spans="2:7" hidden="1" outlineLevel="1" x14ac:dyDescent="0.25">
      <c r="B217" s="738" t="s">
        <v>923</v>
      </c>
      <c r="C217" s="725">
        <f t="shared" si="4"/>
        <v>737727.9</v>
      </c>
      <c r="D217" s="725">
        <v>0</v>
      </c>
      <c r="E217" s="725">
        <v>737727.9</v>
      </c>
      <c r="F217" s="725"/>
      <c r="G217" s="729">
        <v>0</v>
      </c>
    </row>
    <row r="218" spans="2:7" hidden="1" outlineLevel="1" x14ac:dyDescent="0.25">
      <c r="B218" s="738" t="s">
        <v>924</v>
      </c>
      <c r="C218" s="725">
        <f t="shared" si="4"/>
        <v>40.89</v>
      </c>
      <c r="D218" s="719">
        <v>0</v>
      </c>
      <c r="E218" s="719">
        <v>40.89</v>
      </c>
      <c r="F218" s="719"/>
      <c r="G218" s="729">
        <v>0</v>
      </c>
    </row>
    <row r="219" spans="2:7" collapsed="1" x14ac:dyDescent="0.25">
      <c r="B219" s="717" t="s">
        <v>925</v>
      </c>
      <c r="C219" s="724">
        <f>SUM(C180:C218)</f>
        <v>4163400.1800000006</v>
      </c>
      <c r="D219" s="724">
        <f>SUM(D180:D218)</f>
        <v>0</v>
      </c>
      <c r="E219" s="724">
        <f>SUM(E180:E218)</f>
        <v>2798542.27</v>
      </c>
      <c r="F219" s="724">
        <f>SUM(F180:F218)</f>
        <v>1114528.2499999998</v>
      </c>
      <c r="G219" s="718">
        <f>SUM(G180:G218)</f>
        <v>250329.65999999997</v>
      </c>
    </row>
    <row r="220" spans="2:7" x14ac:dyDescent="0.25">
      <c r="B220" s="739"/>
      <c r="C220" s="726"/>
      <c r="D220" s="721"/>
      <c r="E220" s="721"/>
      <c r="F220" s="721"/>
      <c r="G220" s="732"/>
    </row>
  </sheetData>
  <pageMargins left="0.28999999999999998" right="0.24" top="0.4" bottom="0.39" header="0.3" footer="0.3"/>
  <pageSetup paperSize="9" orientation="landscape" r:id="rId1"/>
  <rowBreaks count="3" manualBreakCount="3">
    <brk id="24" max="16383" man="1"/>
    <brk id="76" max="16383" man="1"/>
    <brk id="140" max="16383" man="1"/>
  </rowBreaks>
  <legacy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5962EA-DFBF-4C43-B11A-62C786DD7B6C}">
  <dimension ref="B1:M65"/>
  <sheetViews>
    <sheetView showGridLines="0" workbookViewId="0">
      <selection activeCell="P30" sqref="P30"/>
    </sheetView>
  </sheetViews>
  <sheetFormatPr defaultRowHeight="15.75" x14ac:dyDescent="0.25"/>
  <cols>
    <col min="2" max="2" width="28.28515625" bestFit="1" customWidth="1"/>
    <col min="3" max="3" width="20.28515625" customWidth="1"/>
    <col min="4" max="4" width="23" customWidth="1"/>
    <col min="9" max="9" width="11.5703125" customWidth="1"/>
  </cols>
  <sheetData>
    <row r="1" spans="2:13" ht="21" thickBot="1" x14ac:dyDescent="0.35">
      <c r="B1" s="132" t="s">
        <v>248</v>
      </c>
    </row>
    <row r="3" spans="2:13" x14ac:dyDescent="0.25">
      <c r="B3" s="806" t="s">
        <v>531</v>
      </c>
      <c r="C3" s="812" t="s">
        <v>517</v>
      </c>
      <c r="D3" s="803" t="s">
        <v>540</v>
      </c>
      <c r="E3" s="469" t="s">
        <v>487</v>
      </c>
      <c r="F3" s="469"/>
      <c r="G3" s="469"/>
      <c r="H3" s="469"/>
      <c r="I3" s="470"/>
    </row>
    <row r="4" spans="2:13" x14ac:dyDescent="0.25">
      <c r="B4" s="807"/>
      <c r="C4" s="813"/>
      <c r="D4" s="804"/>
      <c r="E4" s="42" t="s">
        <v>488</v>
      </c>
      <c r="F4" s="42"/>
      <c r="G4" s="42"/>
      <c r="H4" s="42"/>
      <c r="I4" s="232"/>
      <c r="M4" s="491"/>
    </row>
    <row r="5" spans="2:13" x14ac:dyDescent="0.25">
      <c r="B5" s="807"/>
      <c r="C5" s="814"/>
      <c r="D5" s="805"/>
      <c r="E5" s="162" t="s">
        <v>489</v>
      </c>
      <c r="F5" s="162"/>
      <c r="G5" s="162"/>
      <c r="H5" s="162"/>
      <c r="I5" s="234"/>
    </row>
    <row r="6" spans="2:13" x14ac:dyDescent="0.25">
      <c r="B6" s="807"/>
      <c r="C6" s="42"/>
      <c r="D6" s="50"/>
      <c r="E6" s="42"/>
      <c r="F6" s="42"/>
      <c r="G6" s="42"/>
      <c r="H6" s="42"/>
      <c r="I6" s="232"/>
    </row>
    <row r="7" spans="2:13" x14ac:dyDescent="0.25">
      <c r="B7" s="807"/>
      <c r="C7" s="815" t="s">
        <v>518</v>
      </c>
      <c r="D7" s="482" t="s">
        <v>519</v>
      </c>
      <c r="E7" s="469" t="s">
        <v>541</v>
      </c>
      <c r="F7" s="469"/>
      <c r="G7" s="469"/>
      <c r="H7" s="469"/>
      <c r="I7" s="470"/>
    </row>
    <row r="8" spans="2:13" x14ac:dyDescent="0.25">
      <c r="B8" s="807"/>
      <c r="C8" s="816"/>
      <c r="D8" s="483"/>
      <c r="E8" s="162" t="s">
        <v>490</v>
      </c>
      <c r="F8" s="162"/>
      <c r="G8" s="162"/>
      <c r="H8" s="162"/>
      <c r="I8" s="234"/>
    </row>
    <row r="9" spans="2:13" x14ac:dyDescent="0.25">
      <c r="B9" s="807"/>
      <c r="C9" s="816"/>
      <c r="D9" s="483"/>
      <c r="E9" s="42"/>
      <c r="F9" s="42"/>
      <c r="G9" s="42"/>
      <c r="H9" s="42"/>
      <c r="I9" s="232"/>
    </row>
    <row r="10" spans="2:13" x14ac:dyDescent="0.25">
      <c r="B10" s="807"/>
      <c r="C10" s="816"/>
      <c r="D10" s="483" t="s">
        <v>523</v>
      </c>
      <c r="E10" s="469" t="s">
        <v>491</v>
      </c>
      <c r="F10" s="469"/>
      <c r="G10" s="469"/>
      <c r="H10" s="469"/>
      <c r="I10" s="470"/>
    </row>
    <row r="11" spans="2:13" x14ac:dyDescent="0.25">
      <c r="B11" s="807"/>
      <c r="C11" s="816"/>
      <c r="D11" s="483"/>
      <c r="E11" s="162" t="s">
        <v>492</v>
      </c>
      <c r="F11" s="162"/>
      <c r="G11" s="162"/>
      <c r="H11" s="162"/>
      <c r="I11" s="234"/>
    </row>
    <row r="12" spans="2:13" x14ac:dyDescent="0.25">
      <c r="B12" s="807"/>
      <c r="C12" s="816"/>
      <c r="D12" s="483"/>
      <c r="E12" s="42"/>
      <c r="F12" s="42"/>
      <c r="G12" s="42"/>
      <c r="H12" s="42"/>
      <c r="I12" s="232"/>
    </row>
    <row r="13" spans="2:13" x14ac:dyDescent="0.25">
      <c r="B13" s="807"/>
      <c r="C13" s="817"/>
      <c r="D13" s="484" t="s">
        <v>524</v>
      </c>
      <c r="E13" s="474" t="s">
        <v>493</v>
      </c>
      <c r="F13" s="474"/>
      <c r="G13" s="474"/>
      <c r="H13" s="474"/>
      <c r="I13" s="475"/>
    </row>
    <row r="14" spans="2:13" x14ac:dyDescent="0.25">
      <c r="B14" s="807"/>
      <c r="C14" s="42"/>
      <c r="D14" s="50"/>
      <c r="E14" s="42"/>
      <c r="F14" s="42"/>
      <c r="G14" s="42"/>
      <c r="H14" s="42"/>
      <c r="I14" s="232"/>
    </row>
    <row r="15" spans="2:13" x14ac:dyDescent="0.25">
      <c r="B15" s="807"/>
      <c r="C15" s="809" t="s">
        <v>514</v>
      </c>
      <c r="D15" s="485" t="s">
        <v>519</v>
      </c>
      <c r="E15" s="469" t="s">
        <v>541</v>
      </c>
      <c r="F15" s="469"/>
      <c r="G15" s="469"/>
      <c r="H15" s="469"/>
      <c r="I15" s="470"/>
    </row>
    <row r="16" spans="2:13" x14ac:dyDescent="0.25">
      <c r="B16" s="807"/>
      <c r="C16" s="811"/>
      <c r="D16" s="486"/>
      <c r="E16" s="162" t="s">
        <v>494</v>
      </c>
      <c r="F16" s="162"/>
      <c r="G16" s="162"/>
      <c r="H16" s="162"/>
      <c r="I16" s="234"/>
    </row>
    <row r="17" spans="2:9" x14ac:dyDescent="0.25">
      <c r="B17" s="807"/>
      <c r="C17" s="811"/>
      <c r="D17" s="486"/>
      <c r="E17" s="42"/>
      <c r="F17" s="42"/>
      <c r="G17" s="42"/>
      <c r="H17" s="42"/>
      <c r="I17" s="232"/>
    </row>
    <row r="18" spans="2:9" x14ac:dyDescent="0.25">
      <c r="B18" s="807"/>
      <c r="C18" s="811"/>
      <c r="D18" s="486" t="s">
        <v>523</v>
      </c>
      <c r="E18" s="469" t="s">
        <v>491</v>
      </c>
      <c r="F18" s="469"/>
      <c r="G18" s="469"/>
      <c r="H18" s="469"/>
      <c r="I18" s="470"/>
    </row>
    <row r="19" spans="2:9" x14ac:dyDescent="0.25">
      <c r="B19" s="807"/>
      <c r="C19" s="811"/>
      <c r="D19" s="486"/>
      <c r="E19" s="162" t="s">
        <v>495</v>
      </c>
      <c r="F19" s="162"/>
      <c r="G19" s="162"/>
      <c r="H19" s="162"/>
      <c r="I19" s="234"/>
    </row>
    <row r="20" spans="2:9" x14ac:dyDescent="0.25">
      <c r="B20" s="807"/>
      <c r="C20" s="811"/>
      <c r="D20" s="50"/>
      <c r="E20" s="473"/>
      <c r="F20" s="474"/>
      <c r="G20" s="474"/>
      <c r="H20" s="474"/>
      <c r="I20" s="475"/>
    </row>
    <row r="21" spans="2:9" x14ac:dyDescent="0.25">
      <c r="B21" s="807"/>
      <c r="C21" s="811"/>
      <c r="D21" s="486" t="s">
        <v>525</v>
      </c>
      <c r="E21" s="469" t="s">
        <v>496</v>
      </c>
      <c r="F21" s="469"/>
      <c r="G21" s="469"/>
      <c r="H21" s="469"/>
      <c r="I21" s="470"/>
    </row>
    <row r="22" spans="2:9" x14ac:dyDescent="0.25">
      <c r="B22" s="807"/>
      <c r="C22" s="810"/>
      <c r="D22" s="487"/>
      <c r="E22" s="162" t="s">
        <v>542</v>
      </c>
      <c r="F22" s="162"/>
      <c r="G22" s="162"/>
      <c r="H22" s="162"/>
      <c r="I22" s="234"/>
    </row>
    <row r="23" spans="2:9" x14ac:dyDescent="0.25">
      <c r="B23" s="807"/>
      <c r="C23" s="42"/>
      <c r="D23" s="42"/>
      <c r="E23" s="469"/>
      <c r="F23" s="469"/>
      <c r="G23" s="469"/>
      <c r="H23" s="469"/>
      <c r="I23" s="470"/>
    </row>
    <row r="24" spans="2:9" x14ac:dyDescent="0.25">
      <c r="B24" s="807"/>
      <c r="C24" s="812" t="s">
        <v>515</v>
      </c>
      <c r="D24" s="482" t="s">
        <v>516</v>
      </c>
      <c r="E24" s="469" t="s">
        <v>543</v>
      </c>
      <c r="F24" s="469"/>
      <c r="G24" s="469"/>
      <c r="H24" s="469"/>
      <c r="I24" s="470"/>
    </row>
    <row r="25" spans="2:9" x14ac:dyDescent="0.25">
      <c r="B25" s="807"/>
      <c r="C25" s="813"/>
      <c r="D25" s="483" t="s">
        <v>520</v>
      </c>
      <c r="E25" s="42" t="s">
        <v>544</v>
      </c>
      <c r="F25" s="42"/>
      <c r="G25" s="42"/>
      <c r="H25" s="42"/>
      <c r="I25" s="232"/>
    </row>
    <row r="26" spans="2:9" x14ac:dyDescent="0.25">
      <c r="B26" s="808"/>
      <c r="C26" s="814"/>
      <c r="D26" s="484" t="s">
        <v>521</v>
      </c>
      <c r="E26" s="162" t="s">
        <v>545</v>
      </c>
      <c r="F26" s="162"/>
      <c r="G26" s="162"/>
      <c r="H26" s="162"/>
      <c r="I26" s="234"/>
    </row>
    <row r="27" spans="2:9" x14ac:dyDescent="0.25">
      <c r="B27" s="42"/>
      <c r="C27" s="42"/>
      <c r="D27" s="42"/>
      <c r="E27" s="42"/>
      <c r="F27" s="42"/>
      <c r="G27" s="42"/>
      <c r="H27" s="42"/>
      <c r="I27" s="42"/>
    </row>
    <row r="28" spans="2:9" x14ac:dyDescent="0.25">
      <c r="B28" s="798" t="s">
        <v>532</v>
      </c>
      <c r="C28" s="801" t="s">
        <v>526</v>
      </c>
      <c r="D28" s="806" t="s">
        <v>530</v>
      </c>
      <c r="E28" s="469" t="s">
        <v>546</v>
      </c>
      <c r="F28" s="469"/>
      <c r="G28" s="469"/>
      <c r="H28" s="469"/>
      <c r="I28" s="470"/>
    </row>
    <row r="29" spans="2:9" x14ac:dyDescent="0.25">
      <c r="B29" s="799"/>
      <c r="C29" s="802"/>
      <c r="D29" s="807"/>
      <c r="E29" s="162" t="s">
        <v>497</v>
      </c>
      <c r="F29" s="162"/>
      <c r="G29" s="162"/>
      <c r="H29" s="162"/>
      <c r="I29" s="234"/>
    </row>
    <row r="30" spans="2:9" x14ac:dyDescent="0.25">
      <c r="B30" s="799"/>
      <c r="C30" s="197"/>
      <c r="D30" s="807"/>
      <c r="E30" s="42"/>
      <c r="F30" s="42"/>
      <c r="G30" s="42"/>
      <c r="H30" s="42"/>
      <c r="I30" s="232"/>
    </row>
    <row r="31" spans="2:9" x14ac:dyDescent="0.25">
      <c r="B31" s="799"/>
      <c r="C31" s="809" t="s">
        <v>510</v>
      </c>
      <c r="D31" s="807"/>
      <c r="E31" s="469" t="s">
        <v>546</v>
      </c>
      <c r="F31" s="469"/>
      <c r="G31" s="469"/>
      <c r="H31" s="469"/>
      <c r="I31" s="470"/>
    </row>
    <row r="32" spans="2:9" x14ac:dyDescent="0.25">
      <c r="B32" s="799"/>
      <c r="C32" s="810"/>
      <c r="D32" s="807"/>
      <c r="E32" s="162" t="s">
        <v>498</v>
      </c>
      <c r="F32" s="162"/>
      <c r="G32" s="162"/>
      <c r="H32" s="162"/>
      <c r="I32" s="234"/>
    </row>
    <row r="33" spans="2:10" x14ac:dyDescent="0.25">
      <c r="B33" s="799"/>
      <c r="C33" s="197"/>
      <c r="D33" s="807"/>
      <c r="E33" s="42"/>
      <c r="F33" s="42"/>
      <c r="G33" s="42"/>
      <c r="H33" s="42"/>
      <c r="I33" s="232"/>
    </row>
    <row r="34" spans="2:10" x14ac:dyDescent="0.25">
      <c r="B34" s="799"/>
      <c r="C34" s="809" t="s">
        <v>511</v>
      </c>
      <c r="D34" s="807"/>
      <c r="E34" s="469" t="s">
        <v>546</v>
      </c>
      <c r="F34" s="469"/>
      <c r="G34" s="469"/>
      <c r="H34" s="469"/>
      <c r="I34" s="470"/>
    </row>
    <row r="35" spans="2:10" x14ac:dyDescent="0.25">
      <c r="B35" s="799"/>
      <c r="C35" s="811"/>
      <c r="D35" s="807"/>
      <c r="E35" s="359" t="s">
        <v>538</v>
      </c>
      <c r="F35" s="42"/>
      <c r="G35" s="42"/>
      <c r="H35" s="42"/>
      <c r="I35" s="232"/>
    </row>
    <row r="36" spans="2:10" x14ac:dyDescent="0.25">
      <c r="B36" s="800"/>
      <c r="C36" s="810"/>
      <c r="D36" s="808"/>
      <c r="E36" s="471" t="s">
        <v>539</v>
      </c>
      <c r="F36" s="162"/>
      <c r="G36" s="162"/>
      <c r="H36" s="162"/>
      <c r="I36" s="234"/>
    </row>
    <row r="37" spans="2:10" x14ac:dyDescent="0.25">
      <c r="B37" s="42"/>
      <c r="C37" s="42"/>
      <c r="D37" s="42"/>
      <c r="E37" s="42"/>
      <c r="F37" s="42"/>
      <c r="G37" s="42"/>
      <c r="H37" s="42"/>
      <c r="I37" s="42"/>
    </row>
    <row r="38" spans="2:10" x14ac:dyDescent="0.25">
      <c r="B38" s="806" t="s">
        <v>533</v>
      </c>
      <c r="C38" s="818" t="s">
        <v>527</v>
      </c>
      <c r="D38" s="806" t="s">
        <v>529</v>
      </c>
      <c r="E38" s="469" t="s">
        <v>17</v>
      </c>
      <c r="F38" s="469"/>
      <c r="G38" s="469"/>
      <c r="H38" s="469"/>
      <c r="I38" s="470"/>
    </row>
    <row r="39" spans="2:10" x14ac:dyDescent="0.25">
      <c r="B39" s="807"/>
      <c r="C39" s="819"/>
      <c r="D39" s="807"/>
      <c r="E39" s="162" t="s">
        <v>499</v>
      </c>
      <c r="F39" s="162"/>
      <c r="G39" s="162"/>
      <c r="H39" s="162"/>
      <c r="I39" s="234"/>
    </row>
    <row r="40" spans="2:10" x14ac:dyDescent="0.25">
      <c r="B40" s="807"/>
      <c r="C40" s="42"/>
      <c r="D40" s="807"/>
      <c r="E40" s="42"/>
      <c r="F40" s="42"/>
      <c r="G40" s="42"/>
      <c r="H40" s="42"/>
      <c r="I40" s="232"/>
    </row>
    <row r="41" spans="2:10" x14ac:dyDescent="0.25">
      <c r="B41" s="799"/>
      <c r="C41" s="809" t="s">
        <v>528</v>
      </c>
      <c r="D41" s="820"/>
      <c r="E41" s="189" t="s">
        <v>500</v>
      </c>
      <c r="F41" s="469"/>
      <c r="G41" s="469"/>
      <c r="H41" s="469"/>
      <c r="I41" s="470"/>
    </row>
    <row r="42" spans="2:10" x14ac:dyDescent="0.25">
      <c r="B42" s="799"/>
      <c r="C42" s="810"/>
      <c r="D42" s="820"/>
      <c r="E42" s="233" t="s">
        <v>501</v>
      </c>
      <c r="F42" s="162"/>
      <c r="G42" s="162"/>
      <c r="H42" s="162"/>
      <c r="I42" s="234"/>
    </row>
    <row r="43" spans="2:10" x14ac:dyDescent="0.25">
      <c r="B43" s="799"/>
      <c r="C43" s="472"/>
      <c r="D43" s="820"/>
      <c r="E43" s="42"/>
      <c r="F43" s="42"/>
      <c r="G43" s="42"/>
      <c r="H43" s="42"/>
      <c r="I43" s="232"/>
    </row>
    <row r="44" spans="2:10" x14ac:dyDescent="0.25">
      <c r="B44" s="799"/>
      <c r="C44" s="811" t="s">
        <v>513</v>
      </c>
      <c r="D44" s="820"/>
      <c r="E44" s="189" t="s">
        <v>502</v>
      </c>
      <c r="F44" s="469"/>
      <c r="G44" s="469"/>
      <c r="H44" s="469"/>
      <c r="I44" s="470"/>
    </row>
    <row r="45" spans="2:10" x14ac:dyDescent="0.25">
      <c r="B45" s="799"/>
      <c r="C45" s="810"/>
      <c r="D45" s="820"/>
      <c r="E45" s="233" t="s">
        <v>503</v>
      </c>
      <c r="F45" s="162"/>
      <c r="G45" s="162"/>
      <c r="H45" s="162"/>
      <c r="I45" s="234"/>
    </row>
    <row r="46" spans="2:10" x14ac:dyDescent="0.25">
      <c r="B46" s="799"/>
      <c r="C46" s="197"/>
      <c r="D46" s="820"/>
      <c r="E46" s="42"/>
      <c r="F46" s="42"/>
      <c r="G46" s="42"/>
      <c r="H46" s="42"/>
      <c r="I46" s="232"/>
    </row>
    <row r="47" spans="2:10" x14ac:dyDescent="0.25">
      <c r="B47" s="799"/>
      <c r="C47" s="821" t="s">
        <v>512</v>
      </c>
      <c r="D47" s="820"/>
      <c r="E47" s="476" t="s">
        <v>504</v>
      </c>
      <c r="F47" s="477"/>
      <c r="G47" s="477"/>
      <c r="H47" s="477"/>
      <c r="I47" s="478"/>
      <c r="J47" s="238" t="s">
        <v>547</v>
      </c>
    </row>
    <row r="48" spans="2:10" x14ac:dyDescent="0.25">
      <c r="B48" s="799"/>
      <c r="C48" s="822"/>
      <c r="D48" s="820"/>
      <c r="E48" s="479" t="s">
        <v>505</v>
      </c>
      <c r="F48" s="480"/>
      <c r="G48" s="480"/>
      <c r="H48" s="480"/>
      <c r="I48" s="481"/>
    </row>
    <row r="49" spans="2:9" x14ac:dyDescent="0.25">
      <c r="B49" s="807"/>
      <c r="C49" s="42"/>
      <c r="D49" s="807"/>
      <c r="E49" s="42"/>
      <c r="F49" s="42"/>
      <c r="G49" s="42"/>
      <c r="H49" s="42"/>
      <c r="I49" s="232"/>
    </row>
    <row r="50" spans="2:9" x14ac:dyDescent="0.25">
      <c r="B50" s="807"/>
      <c r="C50" s="809" t="s">
        <v>509</v>
      </c>
      <c r="D50" s="807"/>
      <c r="E50" s="189" t="s">
        <v>506</v>
      </c>
      <c r="F50" s="469"/>
      <c r="G50" s="469"/>
      <c r="H50" s="469"/>
      <c r="I50" s="470"/>
    </row>
    <row r="51" spans="2:9" x14ac:dyDescent="0.25">
      <c r="B51" s="807"/>
      <c r="C51" s="811"/>
      <c r="D51" s="807"/>
      <c r="E51" s="167" t="s">
        <v>507</v>
      </c>
      <c r="F51" s="42"/>
      <c r="G51" s="42"/>
      <c r="H51" s="42"/>
      <c r="I51" s="232"/>
    </row>
    <row r="52" spans="2:9" x14ac:dyDescent="0.25">
      <c r="B52" s="807"/>
      <c r="C52" s="811"/>
      <c r="D52" s="807"/>
      <c r="E52" s="167" t="s">
        <v>508</v>
      </c>
      <c r="F52" s="42"/>
      <c r="G52" s="42"/>
      <c r="H52" s="42"/>
      <c r="I52" s="232"/>
    </row>
    <row r="53" spans="2:9" x14ac:dyDescent="0.25">
      <c r="B53" s="808"/>
      <c r="C53" s="810"/>
      <c r="D53" s="808"/>
      <c r="E53" s="233" t="s">
        <v>522</v>
      </c>
      <c r="F53" s="162"/>
      <c r="G53" s="162"/>
      <c r="H53" s="162"/>
      <c r="I53" s="234"/>
    </row>
    <row r="54" spans="2:9" x14ac:dyDescent="0.25">
      <c r="B54" s="42"/>
      <c r="C54" s="42"/>
      <c r="D54" s="42"/>
      <c r="E54" s="42"/>
      <c r="F54" s="42"/>
      <c r="G54" s="42"/>
      <c r="H54" s="42"/>
      <c r="I54" s="42"/>
    </row>
    <row r="55" spans="2:9" x14ac:dyDescent="0.25">
      <c r="B55" s="482" t="s">
        <v>534</v>
      </c>
      <c r="C55" s="370" t="s">
        <v>537</v>
      </c>
      <c r="D55" s="42"/>
      <c r="E55" s="42"/>
      <c r="F55" s="42"/>
      <c r="G55" s="42"/>
      <c r="H55" s="42"/>
      <c r="I55" s="42"/>
    </row>
    <row r="56" spans="2:9" x14ac:dyDescent="0.25">
      <c r="B56" s="488" t="s">
        <v>536</v>
      </c>
      <c r="C56" s="489" t="s">
        <v>535</v>
      </c>
      <c r="D56" s="490" t="s">
        <v>561</v>
      </c>
      <c r="E56" s="42"/>
      <c r="F56" s="42"/>
      <c r="G56" s="42"/>
      <c r="H56" s="42"/>
      <c r="I56" s="42"/>
    </row>
    <row r="57" spans="2:9" x14ac:dyDescent="0.25">
      <c r="C57" s="42"/>
      <c r="D57" s="42"/>
      <c r="E57" s="42"/>
      <c r="F57" s="42"/>
      <c r="G57" s="42"/>
      <c r="H57" s="42"/>
      <c r="I57" s="42"/>
    </row>
    <row r="58" spans="2:9" x14ac:dyDescent="0.25">
      <c r="B58" s="42" t="s">
        <v>548</v>
      </c>
      <c r="C58" s="42" t="s">
        <v>554</v>
      </c>
      <c r="D58" s="42" t="s">
        <v>562</v>
      </c>
      <c r="E58" s="42"/>
      <c r="F58" s="42"/>
      <c r="G58" s="42"/>
      <c r="H58" s="42"/>
      <c r="I58" s="42"/>
    </row>
    <row r="59" spans="2:9" x14ac:dyDescent="0.25">
      <c r="B59" s="42" t="s">
        <v>14</v>
      </c>
      <c r="C59" s="42" t="s">
        <v>555</v>
      </c>
      <c r="D59" s="42" t="s">
        <v>563</v>
      </c>
      <c r="E59" s="42"/>
      <c r="F59" s="42"/>
    </row>
    <row r="60" spans="2:9" x14ac:dyDescent="0.25">
      <c r="B60" s="42" t="s">
        <v>549</v>
      </c>
      <c r="C60" s="42" t="s">
        <v>556</v>
      </c>
      <c r="D60" s="42" t="s">
        <v>564</v>
      </c>
      <c r="E60" s="42"/>
      <c r="F60" s="42"/>
    </row>
    <row r="61" spans="2:9" x14ac:dyDescent="0.25">
      <c r="B61" s="42" t="s">
        <v>550</v>
      </c>
      <c r="C61" s="42" t="s">
        <v>557</v>
      </c>
      <c r="D61" s="42" t="s">
        <v>565</v>
      </c>
      <c r="E61" s="42"/>
      <c r="F61" s="42"/>
    </row>
    <row r="62" spans="2:9" x14ac:dyDescent="0.25">
      <c r="B62" s="42" t="s">
        <v>551</v>
      </c>
      <c r="C62" s="42" t="s">
        <v>558</v>
      </c>
      <c r="D62" s="42" t="s">
        <v>566</v>
      </c>
      <c r="E62" s="42"/>
      <c r="F62" s="42"/>
    </row>
    <row r="63" spans="2:9" x14ac:dyDescent="0.25">
      <c r="B63" s="42" t="s">
        <v>552</v>
      </c>
      <c r="C63" s="42" t="s">
        <v>559</v>
      </c>
      <c r="D63" s="42"/>
      <c r="E63" s="42"/>
      <c r="F63" s="42"/>
    </row>
    <row r="64" spans="2:9" x14ac:dyDescent="0.25">
      <c r="B64" s="42" t="s">
        <v>553</v>
      </c>
      <c r="C64" s="42" t="s">
        <v>560</v>
      </c>
      <c r="D64" s="42"/>
      <c r="E64" s="42"/>
      <c r="F64" s="42"/>
    </row>
    <row r="65" spans="2:6" x14ac:dyDescent="0.25">
      <c r="B65" s="42"/>
      <c r="C65" s="42"/>
      <c r="D65" s="42"/>
      <c r="E65" s="42"/>
      <c r="F65" s="42"/>
    </row>
  </sheetData>
  <mergeCells count="18">
    <mergeCell ref="B38:B53"/>
    <mergeCell ref="C38:C39"/>
    <mergeCell ref="D38:D53"/>
    <mergeCell ref="C41:C42"/>
    <mergeCell ref="C44:C45"/>
    <mergeCell ref="C47:C48"/>
    <mergeCell ref="C50:C53"/>
    <mergeCell ref="B28:B36"/>
    <mergeCell ref="C28:C29"/>
    <mergeCell ref="D3:D5"/>
    <mergeCell ref="D28:D36"/>
    <mergeCell ref="C31:C32"/>
    <mergeCell ref="C34:C36"/>
    <mergeCell ref="B3:B26"/>
    <mergeCell ref="C3:C5"/>
    <mergeCell ref="C7:C13"/>
    <mergeCell ref="C15:C22"/>
    <mergeCell ref="C24:C26"/>
  </mergeCells>
  <hyperlinks>
    <hyperlink ref="B1" location="Index!A1" display="Home Index (click here)" xr:uid="{62977E36-AA9C-4073-8DCA-1EC51F846DB3}"/>
  </hyperlink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792FE8-A143-4C20-80F7-965F00C7E51B}">
  <dimension ref="B1:B4"/>
  <sheetViews>
    <sheetView workbookViewId="0">
      <selection activeCell="B1" sqref="B1"/>
    </sheetView>
  </sheetViews>
  <sheetFormatPr defaultRowHeight="15.75" x14ac:dyDescent="0.25"/>
  <cols>
    <col min="2" max="2" width="28.28515625" bestFit="1" customWidth="1"/>
  </cols>
  <sheetData>
    <row r="1" spans="2:2" ht="21" thickBot="1" x14ac:dyDescent="0.35">
      <c r="B1" s="132" t="s">
        <v>248</v>
      </c>
    </row>
    <row r="3" spans="2:2" x14ac:dyDescent="0.25">
      <c r="B3" t="s">
        <v>254</v>
      </c>
    </row>
    <row r="4" spans="2:2" x14ac:dyDescent="0.25">
      <c r="B4" t="s">
        <v>255</v>
      </c>
    </row>
  </sheetData>
  <hyperlinks>
    <hyperlink ref="B1" location="Index!A1" display="Home Index (click here)" xr:uid="{43480C23-A7BB-4798-ABEF-DF9597631DEE}"/>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6E8EA-7996-4D3A-A77E-7FAC336B5A9F}">
  <sheetPr>
    <pageSetUpPr fitToPage="1"/>
  </sheetPr>
  <dimension ref="A1:F205"/>
  <sheetViews>
    <sheetView workbookViewId="0">
      <selection activeCell="B1" sqref="B1"/>
    </sheetView>
  </sheetViews>
  <sheetFormatPr defaultRowHeight="18" x14ac:dyDescent="0.25"/>
  <cols>
    <col min="1" max="1" width="3.28515625" style="550" bestFit="1" customWidth="1"/>
    <col min="2" max="2" width="38.42578125" customWidth="1"/>
    <col min="3" max="3" width="19.5703125" customWidth="1"/>
    <col min="4" max="4" width="37.85546875" customWidth="1"/>
    <col min="5" max="5" width="19.7109375" customWidth="1"/>
    <col min="6" max="6" width="16.140625" customWidth="1"/>
  </cols>
  <sheetData>
    <row r="1" spans="1:6" ht="21" thickBot="1" x14ac:dyDescent="0.35">
      <c r="B1" s="132" t="s">
        <v>248</v>
      </c>
    </row>
    <row r="2" spans="1:6" x14ac:dyDescent="0.25">
      <c r="D2" s="239"/>
    </row>
    <row r="3" spans="1:6" ht="20.25" x14ac:dyDescent="0.3">
      <c r="A3" s="1" t="s">
        <v>589</v>
      </c>
      <c r="B3" s="569" t="s">
        <v>697</v>
      </c>
      <c r="C3" s="570"/>
      <c r="D3" s="570"/>
      <c r="E3" s="570"/>
      <c r="F3" s="42"/>
    </row>
    <row r="4" spans="1:6" ht="20.25" x14ac:dyDescent="0.3">
      <c r="A4" s="1"/>
      <c r="B4" s="569"/>
      <c r="C4" s="570"/>
      <c r="D4" s="570"/>
      <c r="E4" s="570"/>
      <c r="F4" s="42"/>
    </row>
    <row r="5" spans="1:6" ht="18.75" x14ac:dyDescent="0.3">
      <c r="A5" s="1"/>
      <c r="B5" s="576" t="s">
        <v>614</v>
      </c>
      <c r="C5" s="573" t="s">
        <v>612</v>
      </c>
      <c r="D5" s="574" t="s">
        <v>614</v>
      </c>
      <c r="E5" s="573" t="s">
        <v>612</v>
      </c>
      <c r="F5" s="644"/>
    </row>
    <row r="6" spans="1:6" ht="18.75" x14ac:dyDescent="0.3">
      <c r="A6" s="1"/>
      <c r="B6" s="640"/>
      <c r="C6" s="651"/>
      <c r="D6" s="641"/>
      <c r="E6" s="642"/>
      <c r="F6" s="535"/>
    </row>
    <row r="7" spans="1:6" ht="18.75" x14ac:dyDescent="0.3">
      <c r="A7" s="1"/>
      <c r="B7" s="643" t="s">
        <v>718</v>
      </c>
      <c r="C7" s="652">
        <f>'FS with Schedules'!$I$79-'FS with Schedules'!$J$79</f>
        <v>15641800.919999838</v>
      </c>
      <c r="D7" s="571" t="s">
        <v>709</v>
      </c>
      <c r="E7" s="653">
        <f>+EBITDA!$I$19</f>
        <v>-107770886</v>
      </c>
      <c r="F7" s="535"/>
    </row>
    <row r="8" spans="1:6" ht="18.75" x14ac:dyDescent="0.3">
      <c r="A8" s="1"/>
      <c r="B8" s="643"/>
      <c r="C8" s="652"/>
      <c r="D8" s="641"/>
      <c r="E8" s="645"/>
      <c r="F8" s="535"/>
    </row>
    <row r="9" spans="1:6" ht="18.75" x14ac:dyDescent="0.3">
      <c r="A9" s="1"/>
      <c r="B9" s="643" t="s">
        <v>705</v>
      </c>
      <c r="C9" s="652">
        <f>'FS with Schedules'!$I$83-'FS with Schedules'!$J$83</f>
        <v>88143</v>
      </c>
      <c r="D9" s="641"/>
      <c r="E9" s="645"/>
      <c r="F9" s="535"/>
    </row>
    <row r="10" spans="1:6" ht="18.75" x14ac:dyDescent="0.3">
      <c r="A10" s="1"/>
      <c r="B10" s="643"/>
      <c r="C10" s="652"/>
      <c r="D10" s="641"/>
      <c r="E10" s="645"/>
      <c r="F10" s="535"/>
    </row>
    <row r="11" spans="1:6" ht="18.75" x14ac:dyDescent="0.3">
      <c r="A11" s="1"/>
      <c r="B11" s="643" t="s">
        <v>706</v>
      </c>
      <c r="C11" s="652"/>
      <c r="D11" s="641"/>
      <c r="E11" s="645"/>
      <c r="F11" s="535"/>
    </row>
    <row r="12" spans="1:6" ht="18.75" x14ac:dyDescent="0.3">
      <c r="A12" s="1"/>
      <c r="B12" s="643" t="s">
        <v>716</v>
      </c>
      <c r="C12" s="652"/>
      <c r="D12" s="641"/>
      <c r="E12" s="645"/>
      <c r="F12" s="535"/>
    </row>
    <row r="13" spans="1:6" ht="18.75" x14ac:dyDescent="0.3">
      <c r="A13" s="1"/>
      <c r="B13" s="589"/>
      <c r="C13" s="589"/>
      <c r="D13" s="641"/>
      <c r="E13" s="645"/>
      <c r="F13" s="535"/>
    </row>
    <row r="14" spans="1:6" ht="18.75" x14ac:dyDescent="0.3">
      <c r="A14" s="1"/>
      <c r="B14" s="643" t="s">
        <v>707</v>
      </c>
      <c r="C14" s="652">
        <f>'FS with Schedules'!$J$138-'FS with Schedules'!$I$138</f>
        <v>1209307</v>
      </c>
      <c r="D14" s="641"/>
      <c r="E14" s="645"/>
      <c r="F14" s="535"/>
    </row>
    <row r="15" spans="1:6" ht="18.75" x14ac:dyDescent="0.3">
      <c r="A15" s="1"/>
      <c r="B15" s="589"/>
      <c r="C15" s="648"/>
      <c r="D15" s="641"/>
      <c r="E15" s="645"/>
      <c r="F15" s="535"/>
    </row>
    <row r="16" spans="1:6" ht="18.75" x14ac:dyDescent="0.3">
      <c r="A16" s="1"/>
      <c r="B16" s="571" t="s">
        <v>708</v>
      </c>
      <c r="C16" s="653">
        <f>+EBITDA!$J$19</f>
        <v>-28862476.999999993</v>
      </c>
      <c r="D16" s="586"/>
      <c r="E16" s="646"/>
      <c r="F16" s="535"/>
    </row>
    <row r="17" spans="1:6" ht="18.75" x14ac:dyDescent="0.3">
      <c r="A17" s="1"/>
      <c r="B17" s="643"/>
      <c r="C17" s="654"/>
      <c r="E17" s="646"/>
      <c r="F17" s="535"/>
    </row>
    <row r="18" spans="1:6" ht="18.75" x14ac:dyDescent="0.3">
      <c r="A18" s="1"/>
      <c r="B18" s="657" t="s">
        <v>616</v>
      </c>
      <c r="C18" s="655">
        <f>$E$21-SUM(C7:C16)</f>
        <v>-95847659.919999838</v>
      </c>
      <c r="D18" s="639" t="s">
        <v>703</v>
      </c>
      <c r="E18" s="647">
        <v>0</v>
      </c>
      <c r="F18" s="535"/>
    </row>
    <row r="19" spans="1:6" ht="18.75" x14ac:dyDescent="0.3">
      <c r="A19" s="1"/>
      <c r="B19" s="571" t="s">
        <v>698</v>
      </c>
      <c r="C19" s="656"/>
      <c r="D19" s="586" t="s">
        <v>698</v>
      </c>
      <c r="E19" s="646"/>
      <c r="F19" s="535"/>
    </row>
    <row r="20" spans="1:6" ht="18.75" x14ac:dyDescent="0.3">
      <c r="A20" s="1"/>
      <c r="B20" s="589"/>
      <c r="C20" s="648"/>
      <c r="D20" s="586"/>
      <c r="E20" s="646"/>
      <c r="F20" s="69"/>
    </row>
    <row r="21" spans="1:6" ht="18.75" x14ac:dyDescent="0.3">
      <c r="A21" s="1"/>
      <c r="B21" s="572"/>
      <c r="C21" s="659">
        <f>E21</f>
        <v>-107770886</v>
      </c>
      <c r="D21" s="658"/>
      <c r="E21" s="658">
        <f>SUM(E7:E20)</f>
        <v>-107770886</v>
      </c>
      <c r="F21" s="76"/>
    </row>
    <row r="22" spans="1:6" ht="18.75" thickBot="1" x14ac:dyDescent="0.3">
      <c r="D22" s="239"/>
    </row>
    <row r="23" spans="1:6" ht="21" thickBot="1" x14ac:dyDescent="0.35">
      <c r="A23" s="1" t="s">
        <v>293</v>
      </c>
      <c r="B23" s="549" t="s">
        <v>610</v>
      </c>
      <c r="D23" s="580" t="s">
        <v>685</v>
      </c>
      <c r="E23" s="370"/>
      <c r="F23" s="42"/>
    </row>
    <row r="24" spans="1:6" ht="18.75" x14ac:dyDescent="0.3">
      <c r="A24" s="1"/>
      <c r="B24" s="42" t="s">
        <v>582</v>
      </c>
      <c r="C24" s="42"/>
      <c r="D24" s="42"/>
      <c r="E24" s="42"/>
      <c r="F24" s="42"/>
    </row>
    <row r="25" spans="1:6" ht="19.5" thickBot="1" x14ac:dyDescent="0.35">
      <c r="A25" s="1"/>
      <c r="B25" s="42" t="s">
        <v>704</v>
      </c>
      <c r="C25" s="42"/>
      <c r="D25" s="42"/>
      <c r="E25" s="42"/>
      <c r="F25" s="42"/>
    </row>
    <row r="26" spans="1:6" ht="18.75" x14ac:dyDescent="0.3">
      <c r="A26" s="1"/>
      <c r="B26" s="366"/>
      <c r="C26" s="367"/>
      <c r="D26" s="537"/>
      <c r="E26" s="539" t="s">
        <v>580</v>
      </c>
      <c r="F26" s="368"/>
    </row>
    <row r="27" spans="1:6" ht="36.75" customHeight="1" thickBot="1" x14ac:dyDescent="0.35">
      <c r="A27" s="1"/>
      <c r="B27" s="548" t="s">
        <v>583</v>
      </c>
      <c r="C27" s="551">
        <v>45291</v>
      </c>
      <c r="D27" s="552">
        <v>45473</v>
      </c>
      <c r="E27" s="553" t="s">
        <v>584</v>
      </c>
      <c r="F27" s="554" t="s">
        <v>585</v>
      </c>
    </row>
    <row r="28" spans="1:6" ht="18.75" x14ac:dyDescent="0.3">
      <c r="A28" s="1" t="s">
        <v>590</v>
      </c>
      <c r="B28" s="540" t="s">
        <v>586</v>
      </c>
      <c r="C28" s="367"/>
      <c r="D28" s="537"/>
      <c r="E28" s="367"/>
      <c r="F28" s="530"/>
    </row>
    <row r="29" spans="1:6" ht="18.75" x14ac:dyDescent="0.3">
      <c r="A29" s="1"/>
      <c r="B29" s="56" t="s">
        <v>49</v>
      </c>
      <c r="C29" s="536">
        <f>+'FS with Schedules'!I101</f>
        <v>69450796</v>
      </c>
      <c r="D29" s="538">
        <f>+'FS with Schedules'!J101</f>
        <v>66180974</v>
      </c>
      <c r="E29" s="31">
        <f>IF(D29&gt;C29,D29-C29,0)</f>
        <v>0</v>
      </c>
      <c r="F29" s="530">
        <f>IF(D29&lt;C29,C29-D29,0)</f>
        <v>3269822</v>
      </c>
    </row>
    <row r="30" spans="1:6" ht="18.75" x14ac:dyDescent="0.3">
      <c r="A30" s="1"/>
      <c r="B30" s="56" t="s">
        <v>50</v>
      </c>
      <c r="C30" s="536">
        <f>+'FS with Schedules'!I106</f>
        <v>296070720</v>
      </c>
      <c r="D30" s="538">
        <f>+'FS with Schedules'!J106</f>
        <v>263952251</v>
      </c>
      <c r="E30" s="31">
        <f>IF(D30&gt;C30,D30-C30,0)</f>
        <v>0</v>
      </c>
      <c r="F30" s="530">
        <f>IF(D30&lt;C30,C30-D30,0)</f>
        <v>32118469</v>
      </c>
    </row>
    <row r="31" spans="1:6" ht="18.75" x14ac:dyDescent="0.3">
      <c r="A31" s="1"/>
      <c r="B31" s="56" t="s">
        <v>587</v>
      </c>
      <c r="C31" s="536">
        <f>+'FS with Schedules'!I113</f>
        <v>41736989</v>
      </c>
      <c r="D31" s="538">
        <f>+'FS with Schedules'!J113</f>
        <v>46471122</v>
      </c>
      <c r="E31" s="31">
        <f>IF(D31&gt;C31,D31-C31,0)</f>
        <v>4734133</v>
      </c>
      <c r="F31" s="530">
        <f>IF(D31&lt;C31,C31-D31,0)</f>
        <v>0</v>
      </c>
    </row>
    <row r="32" spans="1:6" ht="18.75" x14ac:dyDescent="0.3">
      <c r="A32" s="1"/>
      <c r="B32" s="56" t="s">
        <v>588</v>
      </c>
      <c r="C32" s="536">
        <f>+'FS with Schedules'!I118</f>
        <v>11888779</v>
      </c>
      <c r="D32" s="538">
        <f>+'FS with Schedules'!J118</f>
        <v>4163401</v>
      </c>
      <c r="E32" s="31">
        <f>IF(D32&gt;C32,D32-C32,0)</f>
        <v>0</v>
      </c>
      <c r="F32" s="530">
        <f>IF(D32&lt;C32,C32-D32,0)</f>
        <v>7725378</v>
      </c>
    </row>
    <row r="33" spans="1:6" ht="18.75" x14ac:dyDescent="0.3">
      <c r="A33" s="1"/>
      <c r="B33" s="56"/>
      <c r="C33" s="536"/>
      <c r="D33" s="538"/>
      <c r="E33" s="535"/>
      <c r="F33" s="530"/>
    </row>
    <row r="34" spans="1:6" ht="18.75" x14ac:dyDescent="0.3">
      <c r="A34" s="1"/>
      <c r="B34" s="58" t="s">
        <v>596</v>
      </c>
      <c r="C34" s="536">
        <f>SUM(C29:C33)</f>
        <v>419147284</v>
      </c>
      <c r="D34" s="538">
        <f>SUM(D29:D33)</f>
        <v>380767748</v>
      </c>
      <c r="E34" s="535"/>
      <c r="F34" s="530"/>
    </row>
    <row r="35" spans="1:6" ht="18.75" x14ac:dyDescent="0.3">
      <c r="A35" s="1"/>
      <c r="B35" s="56"/>
      <c r="C35" s="536"/>
      <c r="D35" s="538"/>
      <c r="E35" s="535"/>
      <c r="F35" s="530"/>
    </row>
    <row r="36" spans="1:6" ht="18.75" x14ac:dyDescent="0.3">
      <c r="A36" s="1" t="s">
        <v>595</v>
      </c>
      <c r="B36" s="58" t="s">
        <v>591</v>
      </c>
      <c r="C36" s="536"/>
      <c r="D36" s="538"/>
      <c r="E36" s="535"/>
      <c r="F36" s="530"/>
    </row>
    <row r="37" spans="1:6" ht="18.75" x14ac:dyDescent="0.3">
      <c r="A37" s="1"/>
      <c r="B37" s="56" t="s">
        <v>59</v>
      </c>
      <c r="C37" s="536">
        <f>+'FS with Schedules'!I144</f>
        <v>107468896</v>
      </c>
      <c r="D37" s="538">
        <f>+'FS with Schedules'!J144</f>
        <v>145228527</v>
      </c>
      <c r="E37" s="31">
        <f t="shared" ref="E37:E43" si="0">IF(D37&lt;C37,C37-D37,0)</f>
        <v>0</v>
      </c>
      <c r="F37" s="530">
        <f t="shared" ref="F37:F43" si="1">IF(D37&gt;C37,D37-C37,0)</f>
        <v>37759631</v>
      </c>
    </row>
    <row r="38" spans="1:6" ht="18.75" x14ac:dyDescent="0.3">
      <c r="A38" s="1"/>
      <c r="B38" s="56" t="s">
        <v>464</v>
      </c>
      <c r="C38" s="536">
        <v>12141843</v>
      </c>
      <c r="D38" s="538">
        <v>0</v>
      </c>
      <c r="E38" s="31">
        <f t="shared" si="0"/>
        <v>12141843</v>
      </c>
      <c r="F38" s="530">
        <f t="shared" si="1"/>
        <v>0</v>
      </c>
    </row>
    <row r="39" spans="1:6" ht="18.75" x14ac:dyDescent="0.3">
      <c r="A39" s="1"/>
      <c r="B39" s="56" t="s">
        <v>592</v>
      </c>
      <c r="C39" s="536">
        <f>+'FS with Schedules'!I156</f>
        <v>46129997</v>
      </c>
      <c r="D39" s="538">
        <f>+'FS with Schedules'!J156</f>
        <v>30889137</v>
      </c>
      <c r="E39" s="31">
        <f t="shared" si="0"/>
        <v>15240860</v>
      </c>
      <c r="F39" s="530">
        <f t="shared" si="1"/>
        <v>0</v>
      </c>
    </row>
    <row r="40" spans="1:6" ht="18.75" x14ac:dyDescent="0.3">
      <c r="A40" s="1"/>
      <c r="B40" s="56" t="s">
        <v>593</v>
      </c>
      <c r="C40" s="536">
        <f>+'FS with Schedules'!I158</f>
        <v>267678203</v>
      </c>
      <c r="D40" s="538">
        <f>+'FS with Schedules'!J158</f>
        <v>250163701</v>
      </c>
      <c r="E40" s="31">
        <f t="shared" si="0"/>
        <v>17514502</v>
      </c>
      <c r="F40" s="530">
        <f t="shared" si="1"/>
        <v>0</v>
      </c>
    </row>
    <row r="41" spans="1:6" ht="18.75" x14ac:dyDescent="0.3">
      <c r="A41" s="1"/>
      <c r="B41" s="56" t="s">
        <v>111</v>
      </c>
      <c r="C41" s="536">
        <f>+'FS with Schedules'!I160</f>
        <v>58946986</v>
      </c>
      <c r="D41" s="538">
        <f>+'FS with Schedules'!J160</f>
        <v>40232391</v>
      </c>
      <c r="E41" s="31">
        <f t="shared" si="0"/>
        <v>18714595</v>
      </c>
      <c r="F41" s="530">
        <f t="shared" si="1"/>
        <v>0</v>
      </c>
    </row>
    <row r="42" spans="1:6" ht="18.75" x14ac:dyDescent="0.3">
      <c r="A42" s="1"/>
      <c r="B42" s="56" t="s">
        <v>61</v>
      </c>
      <c r="C42" s="536">
        <f>+'FS with Schedules'!I162</f>
        <v>992455</v>
      </c>
      <c r="D42" s="538">
        <f>+'FS with Schedules'!J162</f>
        <v>5544675</v>
      </c>
      <c r="E42" s="31">
        <f t="shared" si="0"/>
        <v>0</v>
      </c>
      <c r="F42" s="530">
        <f t="shared" si="1"/>
        <v>4552220</v>
      </c>
    </row>
    <row r="43" spans="1:6" ht="18.75" x14ac:dyDescent="0.3">
      <c r="A43" s="1"/>
      <c r="B43" s="56" t="s">
        <v>594</v>
      </c>
      <c r="C43" s="536">
        <f>+'FS with Schedules'!I164</f>
        <v>1754223</v>
      </c>
      <c r="D43" s="538">
        <f>+'FS with Schedules'!J164</f>
        <v>1559142</v>
      </c>
      <c r="E43" s="31">
        <f t="shared" si="0"/>
        <v>195081</v>
      </c>
      <c r="F43" s="530">
        <f t="shared" si="1"/>
        <v>0</v>
      </c>
    </row>
    <row r="44" spans="1:6" ht="18.75" x14ac:dyDescent="0.3">
      <c r="A44" s="1"/>
      <c r="B44" s="56"/>
      <c r="C44" s="536"/>
      <c r="D44" s="538"/>
      <c r="E44" s="535"/>
      <c r="F44" s="530"/>
    </row>
    <row r="45" spans="1:6" ht="18.75" x14ac:dyDescent="0.3">
      <c r="A45" s="1"/>
      <c r="B45" s="58" t="s">
        <v>597</v>
      </c>
      <c r="C45" s="536">
        <f>SUM(C37:C43)</f>
        <v>495112603</v>
      </c>
      <c r="D45" s="538">
        <f>SUM(D37:D43)</f>
        <v>473617573</v>
      </c>
      <c r="E45" s="42"/>
      <c r="F45" s="530"/>
    </row>
    <row r="46" spans="1:6" ht="18.75" x14ac:dyDescent="0.3">
      <c r="A46" s="1"/>
      <c r="B46" s="56"/>
      <c r="C46" s="42"/>
      <c r="D46" s="232"/>
      <c r="E46" s="42"/>
      <c r="F46" s="530"/>
    </row>
    <row r="47" spans="1:6" ht="18.75" x14ac:dyDescent="0.3">
      <c r="A47" s="1"/>
      <c r="B47" s="56" t="s">
        <v>611</v>
      </c>
      <c r="C47" s="583">
        <f>C34-C45</f>
        <v>-75965319</v>
      </c>
      <c r="D47" s="542">
        <f>D34-D45</f>
        <v>-92849825</v>
      </c>
      <c r="E47" s="536">
        <f>SUM(E29:E44)</f>
        <v>68541014</v>
      </c>
      <c r="F47" s="530">
        <f>SUM(F29:F44)</f>
        <v>85425520</v>
      </c>
    </row>
    <row r="48" spans="1:6" ht="19.5" thickBot="1" x14ac:dyDescent="0.35">
      <c r="A48" s="1"/>
      <c r="B48" s="56"/>
      <c r="C48" s="42"/>
      <c r="D48" s="232"/>
      <c r="E48" s="50"/>
      <c r="F48" s="530"/>
    </row>
    <row r="49" spans="1:6" ht="18.75" x14ac:dyDescent="0.3">
      <c r="A49" s="1"/>
      <c r="B49" s="546" t="s">
        <v>679</v>
      </c>
      <c r="C49" s="547"/>
      <c r="D49" s="584">
        <f>(D47-C47)</f>
        <v>-16884506</v>
      </c>
      <c r="E49" s="793">
        <f>E47-F47</f>
        <v>-16884506</v>
      </c>
      <c r="F49" s="794"/>
    </row>
    <row r="50" spans="1:6" ht="19.5" thickBot="1" x14ac:dyDescent="0.35">
      <c r="A50" s="1"/>
      <c r="B50" s="543" t="s">
        <v>695</v>
      </c>
      <c r="C50" s="544"/>
      <c r="D50" s="544"/>
      <c r="E50" s="543"/>
      <c r="F50" s="545"/>
    </row>
    <row r="51" spans="1:6" ht="18.75" x14ac:dyDescent="0.3">
      <c r="A51" s="1"/>
      <c r="B51" s="42"/>
      <c r="C51" s="42"/>
      <c r="D51" s="42"/>
      <c r="E51" s="42"/>
      <c r="F51" s="42"/>
    </row>
    <row r="52" spans="1:6" ht="18.75" x14ac:dyDescent="0.3">
      <c r="A52" s="1"/>
      <c r="B52" s="42"/>
      <c r="C52" s="42"/>
      <c r="D52" s="42"/>
      <c r="E52" s="42"/>
      <c r="F52" s="42"/>
    </row>
    <row r="53" spans="1:6" ht="18.75" x14ac:dyDescent="0.3">
      <c r="A53" s="1"/>
      <c r="B53" s="42"/>
      <c r="C53" s="42"/>
      <c r="D53" s="42"/>
      <c r="E53" s="42"/>
      <c r="F53" s="42"/>
    </row>
    <row r="54" spans="1:6" ht="18.75" x14ac:dyDescent="0.3">
      <c r="A54" s="1"/>
      <c r="B54" s="42"/>
      <c r="C54" s="42"/>
      <c r="D54" s="42"/>
      <c r="E54" s="42"/>
      <c r="F54" s="42"/>
    </row>
    <row r="55" spans="1:6" ht="18.75" x14ac:dyDescent="0.3">
      <c r="A55" s="1"/>
      <c r="B55" s="42"/>
      <c r="C55" s="42"/>
      <c r="D55" s="42"/>
      <c r="E55" s="42"/>
      <c r="F55" s="42"/>
    </row>
    <row r="56" spans="1:6" ht="18.75" x14ac:dyDescent="0.3">
      <c r="A56" s="1"/>
      <c r="B56" s="42"/>
      <c r="C56" s="42"/>
      <c r="D56" s="42"/>
      <c r="E56" s="42"/>
      <c r="F56" s="42"/>
    </row>
    <row r="57" spans="1:6" ht="18.75" x14ac:dyDescent="0.3">
      <c r="A57" s="1"/>
      <c r="B57" s="42"/>
      <c r="C57" s="42"/>
      <c r="D57" s="42"/>
      <c r="E57" s="42"/>
      <c r="F57" s="42"/>
    </row>
    <row r="58" spans="1:6" ht="18.75" x14ac:dyDescent="0.3">
      <c r="A58" s="1"/>
      <c r="B58" s="42"/>
      <c r="C58" s="42"/>
      <c r="D58" s="42"/>
      <c r="E58" s="42"/>
      <c r="F58" s="42"/>
    </row>
    <row r="59" spans="1:6" ht="18.75" x14ac:dyDescent="0.3">
      <c r="A59" s="1"/>
      <c r="B59" s="42"/>
      <c r="C59" s="42"/>
      <c r="D59" s="42"/>
      <c r="E59" s="42"/>
      <c r="F59" s="42"/>
    </row>
    <row r="60" spans="1:6" ht="18.75" x14ac:dyDescent="0.3">
      <c r="A60" s="1"/>
      <c r="B60" s="31"/>
      <c r="C60" s="570"/>
      <c r="D60" s="570"/>
      <c r="E60" s="570"/>
      <c r="F60" s="47"/>
    </row>
    <row r="61" spans="1:6" ht="20.25" x14ac:dyDescent="0.3">
      <c r="A61" s="1" t="s">
        <v>299</v>
      </c>
      <c r="B61" s="569" t="s">
        <v>581</v>
      </c>
      <c r="C61" s="592"/>
      <c r="D61" s="570"/>
      <c r="E61" s="570"/>
      <c r="F61" s="47"/>
    </row>
    <row r="62" spans="1:6" ht="18.75" x14ac:dyDescent="0.3">
      <c r="A62" s="1"/>
      <c r="B62" s="570" t="s">
        <v>696</v>
      </c>
      <c r="C62" s="42" t="s">
        <v>710</v>
      </c>
      <c r="D62" s="570"/>
      <c r="E62" s="592" t="s">
        <v>711</v>
      </c>
      <c r="F62" s="42"/>
    </row>
    <row r="63" spans="1:6" ht="18.75" x14ac:dyDescent="0.3">
      <c r="A63" s="1"/>
      <c r="B63" s="576" t="s">
        <v>613</v>
      </c>
      <c r="C63" s="573" t="s">
        <v>612</v>
      </c>
      <c r="D63" s="574" t="s">
        <v>615</v>
      </c>
      <c r="E63" s="573" t="s">
        <v>612</v>
      </c>
      <c r="F63" s="42"/>
    </row>
    <row r="64" spans="1:6" ht="20.25" x14ac:dyDescent="0.3">
      <c r="A64" s="1"/>
      <c r="B64" s="587"/>
      <c r="C64" s="571"/>
      <c r="D64" s="586"/>
      <c r="E64" s="590"/>
      <c r="F64" s="42"/>
    </row>
    <row r="65" spans="1:6" ht="18.75" x14ac:dyDescent="0.3">
      <c r="A65" s="1"/>
      <c r="B65" s="585" t="s">
        <v>712</v>
      </c>
      <c r="C65" s="575">
        <f>'FS with Schedules'!$I$85-'FS with Schedules'!$J$85</f>
        <v>37110</v>
      </c>
      <c r="D65" s="586" t="s">
        <v>713</v>
      </c>
      <c r="E65" s="575">
        <f>'FS with Schedules'!$J$81-'FS with Schedules'!$I$81</f>
        <v>6648662</v>
      </c>
      <c r="F65" s="42"/>
    </row>
    <row r="66" spans="1:6" ht="20.25" x14ac:dyDescent="0.3">
      <c r="A66" s="1"/>
      <c r="B66" s="587"/>
      <c r="C66" s="571"/>
      <c r="D66" s="586"/>
      <c r="E66" s="571"/>
      <c r="F66" s="42"/>
    </row>
    <row r="67" spans="1:6" ht="18.75" x14ac:dyDescent="0.3">
      <c r="A67" s="1"/>
      <c r="B67" s="585" t="s">
        <v>717</v>
      </c>
      <c r="C67" s="575">
        <f>'FS with Schedules'!$J$140-'FS with Schedules'!$I$140</f>
        <v>4273155</v>
      </c>
      <c r="D67" s="586" t="s">
        <v>714</v>
      </c>
      <c r="E67" s="575">
        <f>'FS with Schedules'!$J$87-'FS with Schedules'!$I$87</f>
        <v>190148</v>
      </c>
      <c r="F67" s="42"/>
    </row>
    <row r="68" spans="1:6" ht="18.75" x14ac:dyDescent="0.3">
      <c r="A68" s="1"/>
      <c r="B68" s="585"/>
      <c r="C68" s="575"/>
      <c r="D68" s="541"/>
      <c r="E68" s="575"/>
      <c r="F68" s="42"/>
    </row>
    <row r="69" spans="1:6" ht="18.75" x14ac:dyDescent="0.3">
      <c r="A69" s="1"/>
      <c r="B69" s="588"/>
      <c r="C69" s="575"/>
      <c r="D69" s="541" t="s">
        <v>715</v>
      </c>
      <c r="E69" s="575">
        <f>'FS with Schedules'!$J$89-'FS with Schedules'!$I$89</f>
        <v>837339</v>
      </c>
      <c r="F69" s="42"/>
    </row>
    <row r="70" spans="1:6" ht="18.75" x14ac:dyDescent="0.3">
      <c r="A70" s="1"/>
      <c r="B70" s="585"/>
      <c r="C70" s="575"/>
      <c r="D70" s="541"/>
      <c r="E70" s="575"/>
      <c r="F70" s="42"/>
    </row>
    <row r="71" spans="1:6" ht="18.75" x14ac:dyDescent="0.3">
      <c r="A71" s="1"/>
      <c r="B71" s="585"/>
      <c r="D71" s="541" t="s">
        <v>678</v>
      </c>
      <c r="E71" s="575">
        <f>'FS with Schedules'!$I$135-'FS with Schedules'!$J$135</f>
        <v>13315651</v>
      </c>
      <c r="F71" s="42"/>
    </row>
    <row r="72" spans="1:6" ht="18.75" x14ac:dyDescent="0.3">
      <c r="A72" s="1"/>
      <c r="B72" s="585"/>
      <c r="C72" s="575"/>
      <c r="D72" s="541"/>
      <c r="E72" s="589"/>
      <c r="F72" s="42"/>
    </row>
    <row r="73" spans="1:6" ht="18.75" x14ac:dyDescent="0.3">
      <c r="A73" s="1"/>
      <c r="B73" s="585" t="s">
        <v>699</v>
      </c>
      <c r="C73" s="649">
        <v>0</v>
      </c>
      <c r="D73" s="541" t="s">
        <v>700</v>
      </c>
      <c r="E73" s="575">
        <f>+$C$18</f>
        <v>-95847659.919999838</v>
      </c>
      <c r="F73" s="42"/>
    </row>
    <row r="74" spans="1:6" ht="18.75" x14ac:dyDescent="0.3">
      <c r="A74" s="1"/>
      <c r="B74" s="588"/>
      <c r="C74" s="650"/>
      <c r="E74" s="589"/>
      <c r="F74" s="42"/>
    </row>
    <row r="75" spans="1:6" ht="18.75" x14ac:dyDescent="0.3">
      <c r="A75" s="1"/>
      <c r="B75" s="585" t="s">
        <v>701</v>
      </c>
      <c r="C75" s="649">
        <v>0</v>
      </c>
      <c r="D75" s="541" t="s">
        <v>702</v>
      </c>
      <c r="E75" s="575">
        <f>+$E$49</f>
        <v>-16884506</v>
      </c>
      <c r="F75" s="42"/>
    </row>
    <row r="76" spans="1:6" ht="18.75" x14ac:dyDescent="0.3">
      <c r="A76" s="1"/>
      <c r="B76" s="585"/>
      <c r="C76" s="591"/>
      <c r="D76" s="541"/>
      <c r="E76" s="591"/>
      <c r="F76" s="42"/>
    </row>
    <row r="77" spans="1:6" ht="20.25" x14ac:dyDescent="0.3">
      <c r="A77" s="1"/>
      <c r="B77" s="577"/>
      <c r="C77" s="578">
        <f>SUM(C64:C76)</f>
        <v>4310265</v>
      </c>
      <c r="D77" s="579"/>
      <c r="E77" s="578">
        <f>SUM(E64:E76)</f>
        <v>-91740365.919999838</v>
      </c>
      <c r="F77" s="42"/>
    </row>
    <row r="78" spans="1:6" ht="18.75" x14ac:dyDescent="0.3">
      <c r="A78" s="1"/>
      <c r="E78" s="582">
        <f>C77-E77</f>
        <v>96050630.919999838</v>
      </c>
      <c r="F78" s="42"/>
    </row>
    <row r="79" spans="1:6" ht="20.25" x14ac:dyDescent="0.3">
      <c r="A79" s="1"/>
      <c r="B79" s="569"/>
      <c r="C79" s="570"/>
      <c r="D79" s="570"/>
      <c r="E79" s="570"/>
      <c r="F79" s="42"/>
    </row>
    <row r="80" spans="1:6" ht="18.75" x14ac:dyDescent="0.3">
      <c r="A80" s="1"/>
      <c r="C80" s="42"/>
      <c r="D80" s="42"/>
      <c r="E80" s="42"/>
      <c r="F80" s="42"/>
    </row>
    <row r="81" spans="1:6" ht="18.75" x14ac:dyDescent="0.3">
      <c r="A81" s="1"/>
      <c r="C81" s="42"/>
      <c r="D81" s="42"/>
      <c r="E81" s="42"/>
      <c r="F81" s="42"/>
    </row>
    <row r="82" spans="1:6" ht="18.75" x14ac:dyDescent="0.3">
      <c r="A82" s="1"/>
      <c r="C82" s="42"/>
      <c r="D82" s="42"/>
      <c r="E82" s="42"/>
      <c r="F82" s="42"/>
    </row>
    <row r="83" spans="1:6" ht="18.75" x14ac:dyDescent="0.3">
      <c r="A83" s="1"/>
      <c r="C83" s="42"/>
      <c r="D83" s="42"/>
      <c r="E83" s="42"/>
      <c r="F83" s="42"/>
    </row>
    <row r="84" spans="1:6" ht="18.75" x14ac:dyDescent="0.3">
      <c r="A84" s="1"/>
      <c r="C84" s="42"/>
      <c r="D84" s="42"/>
      <c r="E84" s="42"/>
      <c r="F84" s="42"/>
    </row>
    <row r="85" spans="1:6" ht="18.75" x14ac:dyDescent="0.3">
      <c r="A85" s="1"/>
      <c r="C85" s="42"/>
      <c r="D85" s="42"/>
      <c r="E85" s="42"/>
      <c r="F85" s="42"/>
    </row>
    <row r="86" spans="1:6" ht="18.75" x14ac:dyDescent="0.3">
      <c r="A86" s="1"/>
      <c r="C86" s="42"/>
      <c r="D86" s="42"/>
      <c r="E86" s="42"/>
      <c r="F86" s="42"/>
    </row>
    <row r="87" spans="1:6" ht="18.75" x14ac:dyDescent="0.3">
      <c r="A87" s="1"/>
      <c r="C87" s="42"/>
      <c r="D87" s="42"/>
      <c r="E87" s="42"/>
      <c r="F87" s="42"/>
    </row>
    <row r="88" spans="1:6" ht="18.75" x14ac:dyDescent="0.3">
      <c r="A88" s="1"/>
      <c r="C88" s="42"/>
      <c r="D88" s="42"/>
      <c r="E88" s="42"/>
      <c r="F88" s="42"/>
    </row>
    <row r="89" spans="1:6" ht="18.75" x14ac:dyDescent="0.3">
      <c r="A89" s="1"/>
      <c r="C89" s="42"/>
      <c r="D89" s="42"/>
      <c r="E89" s="42"/>
      <c r="F89" s="42"/>
    </row>
    <row r="90" spans="1:6" ht="18.75" x14ac:dyDescent="0.3">
      <c r="A90" s="1"/>
      <c r="C90" s="42"/>
      <c r="D90" s="42"/>
      <c r="E90" s="42"/>
      <c r="F90" s="42"/>
    </row>
    <row r="91" spans="1:6" ht="18.75" x14ac:dyDescent="0.3">
      <c r="A91" s="1"/>
      <c r="C91" s="42"/>
      <c r="D91" s="42"/>
      <c r="E91" s="42"/>
      <c r="F91" s="42"/>
    </row>
    <row r="92" spans="1:6" ht="18.75" x14ac:dyDescent="0.3">
      <c r="A92" s="1"/>
      <c r="C92" s="42"/>
      <c r="D92" s="42"/>
      <c r="E92" s="42"/>
      <c r="F92" s="42"/>
    </row>
    <row r="93" spans="1:6" ht="18.75" x14ac:dyDescent="0.3">
      <c r="A93" s="1"/>
      <c r="C93" s="42"/>
      <c r="D93" s="42"/>
      <c r="E93" s="42"/>
      <c r="F93" s="42"/>
    </row>
    <row r="94" spans="1:6" ht="18.75" x14ac:dyDescent="0.3">
      <c r="A94" s="1"/>
      <c r="C94" s="42"/>
      <c r="D94" s="42"/>
      <c r="E94" s="42"/>
      <c r="F94" s="42"/>
    </row>
    <row r="95" spans="1:6" ht="18.75" x14ac:dyDescent="0.3">
      <c r="A95" s="1"/>
      <c r="C95" s="42"/>
      <c r="D95" s="42"/>
      <c r="E95" s="42"/>
      <c r="F95" s="42"/>
    </row>
    <row r="96" spans="1:6" ht="18.75" x14ac:dyDescent="0.3">
      <c r="A96" s="1"/>
      <c r="C96" s="42"/>
      <c r="D96" s="42"/>
      <c r="E96" s="42"/>
      <c r="F96" s="42"/>
    </row>
    <row r="97" spans="1:6" ht="18.75" x14ac:dyDescent="0.3">
      <c r="A97" s="1"/>
      <c r="C97" s="42"/>
      <c r="D97" s="42"/>
      <c r="E97" s="42"/>
      <c r="F97" s="42"/>
    </row>
    <row r="98" spans="1:6" ht="18.75" x14ac:dyDescent="0.3">
      <c r="A98" s="1"/>
      <c r="C98" s="42"/>
      <c r="D98" s="42"/>
      <c r="E98" s="42"/>
      <c r="F98" s="42"/>
    </row>
    <row r="99" spans="1:6" ht="18.75" x14ac:dyDescent="0.3">
      <c r="A99" s="1"/>
      <c r="B99" s="42"/>
      <c r="C99" s="42"/>
      <c r="D99" s="42"/>
      <c r="E99" s="42"/>
      <c r="F99" s="42"/>
    </row>
    <row r="100" spans="1:6" ht="18.75" x14ac:dyDescent="0.3">
      <c r="A100" s="1"/>
      <c r="B100" s="42"/>
      <c r="C100" s="42"/>
      <c r="D100" s="42"/>
      <c r="E100" s="42"/>
      <c r="F100" s="42"/>
    </row>
    <row r="101" spans="1:6" ht="18.75" x14ac:dyDescent="0.3">
      <c r="A101" s="1"/>
      <c r="B101" s="42"/>
      <c r="C101" s="42"/>
      <c r="D101" s="42"/>
      <c r="E101" s="42"/>
      <c r="F101" s="42"/>
    </row>
    <row r="102" spans="1:6" ht="18.75" x14ac:dyDescent="0.3">
      <c r="A102" s="1"/>
      <c r="B102" s="42"/>
      <c r="C102" s="42"/>
      <c r="D102" s="42"/>
      <c r="E102" s="42"/>
      <c r="F102" s="42"/>
    </row>
    <row r="103" spans="1:6" ht="18.75" x14ac:dyDescent="0.3">
      <c r="A103" s="1"/>
      <c r="B103" s="42"/>
      <c r="C103" s="42"/>
      <c r="D103" s="42"/>
      <c r="E103" s="42"/>
      <c r="F103" s="42"/>
    </row>
    <row r="104" spans="1:6" ht="18.75" x14ac:dyDescent="0.3">
      <c r="A104" s="1"/>
      <c r="B104" s="42"/>
      <c r="C104" s="42"/>
      <c r="D104" s="42"/>
      <c r="E104" s="42"/>
      <c r="F104" s="42"/>
    </row>
    <row r="105" spans="1:6" ht="18.75" x14ac:dyDescent="0.3">
      <c r="A105" s="1"/>
      <c r="B105" s="42"/>
      <c r="C105" s="42"/>
      <c r="D105" s="42"/>
      <c r="E105" s="42"/>
      <c r="F105" s="42"/>
    </row>
    <row r="106" spans="1:6" ht="18.75" x14ac:dyDescent="0.3">
      <c r="A106" s="1"/>
      <c r="B106" s="42"/>
      <c r="C106" s="42"/>
      <c r="D106" s="42"/>
      <c r="E106" s="42"/>
      <c r="F106" s="42"/>
    </row>
    <row r="107" spans="1:6" ht="18.75" x14ac:dyDescent="0.3">
      <c r="A107" s="1"/>
      <c r="B107" s="42"/>
      <c r="C107" s="42"/>
      <c r="D107" s="42"/>
      <c r="E107" s="42"/>
      <c r="F107" s="42"/>
    </row>
    <row r="108" spans="1:6" ht="18.75" x14ac:dyDescent="0.3">
      <c r="A108" s="1"/>
      <c r="B108" s="42"/>
      <c r="C108" s="42"/>
      <c r="D108" s="42"/>
      <c r="E108" s="42"/>
      <c r="F108" s="42"/>
    </row>
    <row r="109" spans="1:6" ht="18.75" x14ac:dyDescent="0.3">
      <c r="A109" s="1"/>
      <c r="B109" s="42"/>
      <c r="C109" s="42"/>
      <c r="D109" s="42"/>
      <c r="E109" s="42"/>
      <c r="F109" s="42"/>
    </row>
    <row r="110" spans="1:6" ht="18.75" x14ac:dyDescent="0.3">
      <c r="A110" s="1"/>
      <c r="B110" s="42"/>
      <c r="C110" s="42"/>
      <c r="D110" s="42"/>
      <c r="E110" s="42"/>
      <c r="F110" s="42"/>
    </row>
    <row r="111" spans="1:6" ht="18.75" x14ac:dyDescent="0.3">
      <c r="A111" s="1"/>
      <c r="B111" s="42"/>
      <c r="C111" s="42"/>
      <c r="D111" s="42"/>
      <c r="E111" s="42"/>
      <c r="F111" s="42"/>
    </row>
    <row r="112" spans="1:6" ht="18.75" x14ac:dyDescent="0.3">
      <c r="A112" s="1"/>
      <c r="B112" s="42"/>
      <c r="C112" s="42"/>
      <c r="D112" s="42"/>
      <c r="E112" s="42"/>
      <c r="F112" s="42"/>
    </row>
    <row r="113" spans="1:6" ht="18.75" x14ac:dyDescent="0.3">
      <c r="A113" s="1"/>
      <c r="B113" s="42"/>
      <c r="C113" s="42"/>
      <c r="D113" s="42"/>
      <c r="E113" s="42"/>
      <c r="F113" s="42"/>
    </row>
    <row r="114" spans="1:6" ht="18.75" x14ac:dyDescent="0.3">
      <c r="A114" s="1"/>
      <c r="B114" s="42"/>
      <c r="C114" s="42"/>
      <c r="D114" s="42"/>
      <c r="E114" s="42"/>
      <c r="F114" s="42"/>
    </row>
    <row r="115" spans="1:6" ht="18.75" x14ac:dyDescent="0.3">
      <c r="A115" s="1"/>
      <c r="B115" s="42"/>
      <c r="C115" s="42"/>
      <c r="D115" s="42"/>
      <c r="E115" s="42"/>
      <c r="F115" s="42"/>
    </row>
    <row r="116" spans="1:6" ht="18.75" x14ac:dyDescent="0.3">
      <c r="A116" s="1"/>
      <c r="B116" s="42"/>
      <c r="C116" s="42"/>
      <c r="D116" s="42"/>
      <c r="E116" s="42"/>
      <c r="F116" s="42"/>
    </row>
    <row r="117" spans="1:6" ht="18.75" x14ac:dyDescent="0.3">
      <c r="A117" s="1"/>
      <c r="B117" s="42"/>
      <c r="C117" s="42"/>
      <c r="D117" s="42"/>
      <c r="E117" s="42"/>
      <c r="F117" s="42"/>
    </row>
    <row r="118" spans="1:6" ht="18.75" x14ac:dyDescent="0.3">
      <c r="A118" s="1"/>
      <c r="B118" s="42"/>
      <c r="C118" s="42"/>
      <c r="D118" s="42"/>
      <c r="E118" s="42"/>
      <c r="F118" s="42"/>
    </row>
    <row r="119" spans="1:6" ht="18.75" x14ac:dyDescent="0.3">
      <c r="A119" s="1"/>
      <c r="B119" s="42"/>
      <c r="C119" s="42"/>
      <c r="D119" s="42"/>
      <c r="E119" s="42"/>
      <c r="F119" s="42"/>
    </row>
    <row r="120" spans="1:6" ht="18.75" x14ac:dyDescent="0.3">
      <c r="A120" s="1"/>
      <c r="B120" s="42"/>
      <c r="C120" s="42"/>
      <c r="D120" s="42"/>
      <c r="E120" s="42"/>
      <c r="F120" s="42"/>
    </row>
    <row r="121" spans="1:6" ht="18.75" x14ac:dyDescent="0.3">
      <c r="A121" s="1"/>
      <c r="B121" s="42"/>
      <c r="C121" s="42"/>
      <c r="D121" s="42"/>
      <c r="E121" s="42"/>
      <c r="F121" s="42"/>
    </row>
    <row r="122" spans="1:6" ht="18.75" x14ac:dyDescent="0.3">
      <c r="A122" s="1"/>
      <c r="B122" s="42"/>
      <c r="C122" s="42"/>
      <c r="D122" s="42"/>
      <c r="E122" s="42"/>
      <c r="F122" s="42"/>
    </row>
    <row r="123" spans="1:6" ht="18.75" x14ac:dyDescent="0.3">
      <c r="A123" s="1"/>
      <c r="B123" s="42"/>
      <c r="C123" s="42"/>
      <c r="D123" s="42"/>
      <c r="E123" s="42"/>
      <c r="F123" s="42"/>
    </row>
    <row r="124" spans="1:6" ht="18.75" x14ac:dyDescent="0.3">
      <c r="A124" s="1"/>
      <c r="B124" s="42"/>
      <c r="C124" s="42"/>
      <c r="D124" s="42"/>
      <c r="E124" s="42"/>
      <c r="F124" s="42"/>
    </row>
    <row r="125" spans="1:6" ht="18.75" x14ac:dyDescent="0.3">
      <c r="A125" s="1"/>
      <c r="B125" s="42"/>
      <c r="C125" s="42"/>
      <c r="D125" s="42"/>
      <c r="E125" s="42"/>
      <c r="F125" s="42"/>
    </row>
    <row r="126" spans="1:6" ht="18.75" x14ac:dyDescent="0.3">
      <c r="A126" s="1"/>
      <c r="B126" s="42"/>
      <c r="C126" s="42"/>
      <c r="D126" s="42"/>
      <c r="E126" s="42"/>
      <c r="F126" s="42"/>
    </row>
    <row r="127" spans="1:6" ht="18.75" x14ac:dyDescent="0.3">
      <c r="A127" s="1"/>
      <c r="B127" s="42"/>
      <c r="C127" s="42"/>
      <c r="D127" s="42"/>
      <c r="E127" s="42"/>
      <c r="F127" s="42"/>
    </row>
    <row r="128" spans="1:6" ht="18.75" x14ac:dyDescent="0.3">
      <c r="A128" s="1"/>
      <c r="B128" s="42"/>
      <c r="C128" s="42"/>
      <c r="D128" s="42"/>
      <c r="E128" s="42"/>
      <c r="F128" s="42"/>
    </row>
    <row r="129" spans="1:6" ht="18.75" x14ac:dyDescent="0.3">
      <c r="A129" s="1"/>
      <c r="B129" s="42"/>
      <c r="C129" s="42"/>
      <c r="D129" s="42"/>
      <c r="E129" s="42"/>
      <c r="F129" s="42"/>
    </row>
    <row r="130" spans="1:6" ht="18.75" x14ac:dyDescent="0.3">
      <c r="A130" s="1"/>
      <c r="B130" s="42"/>
      <c r="C130" s="42"/>
      <c r="D130" s="42"/>
      <c r="E130" s="42"/>
      <c r="F130" s="42"/>
    </row>
    <row r="131" spans="1:6" ht="18.75" x14ac:dyDescent="0.3">
      <c r="A131" s="1"/>
      <c r="B131" s="42"/>
      <c r="C131" s="42"/>
      <c r="D131" s="42"/>
      <c r="E131" s="42"/>
      <c r="F131" s="42"/>
    </row>
    <row r="132" spans="1:6" ht="18.75" x14ac:dyDescent="0.3">
      <c r="A132" s="1"/>
      <c r="B132" s="42"/>
      <c r="C132" s="42"/>
      <c r="D132" s="42"/>
      <c r="E132" s="42"/>
      <c r="F132" s="42"/>
    </row>
    <row r="133" spans="1:6" ht="18.75" x14ac:dyDescent="0.3">
      <c r="A133" s="1"/>
      <c r="B133" s="42"/>
      <c r="C133" s="42"/>
      <c r="D133" s="42"/>
      <c r="E133" s="42"/>
      <c r="F133" s="42"/>
    </row>
    <row r="134" spans="1:6" ht="18.75" x14ac:dyDescent="0.3">
      <c r="A134" s="1"/>
      <c r="B134" s="42"/>
      <c r="C134" s="42"/>
      <c r="D134" s="42"/>
      <c r="E134" s="42"/>
      <c r="F134" s="42"/>
    </row>
    <row r="135" spans="1:6" ht="18.75" x14ac:dyDescent="0.3">
      <c r="A135" s="1"/>
      <c r="B135" s="42"/>
      <c r="C135" s="42"/>
      <c r="D135" s="42"/>
      <c r="E135" s="42"/>
      <c r="F135" s="42"/>
    </row>
    <row r="136" spans="1:6" ht="18.75" x14ac:dyDescent="0.3">
      <c r="A136" s="1"/>
      <c r="B136" s="42"/>
      <c r="C136" s="42"/>
      <c r="D136" s="42"/>
      <c r="E136" s="42"/>
      <c r="F136" s="42"/>
    </row>
    <row r="137" spans="1:6" ht="18.75" x14ac:dyDescent="0.3">
      <c r="A137" s="1"/>
      <c r="B137" s="42"/>
      <c r="C137" s="42"/>
      <c r="D137" s="42"/>
      <c r="E137" s="42"/>
      <c r="F137" s="42"/>
    </row>
    <row r="138" spans="1:6" ht="18.75" x14ac:dyDescent="0.3">
      <c r="A138" s="1"/>
      <c r="B138" s="42"/>
      <c r="C138" s="42"/>
      <c r="D138" s="42"/>
      <c r="E138" s="42"/>
      <c r="F138" s="42"/>
    </row>
    <row r="139" spans="1:6" ht="18.75" x14ac:dyDescent="0.3">
      <c r="A139" s="1"/>
      <c r="B139" s="42"/>
      <c r="C139" s="42"/>
      <c r="D139" s="42"/>
      <c r="E139" s="42"/>
      <c r="F139" s="42"/>
    </row>
    <row r="140" spans="1:6" ht="18.75" x14ac:dyDescent="0.3">
      <c r="A140" s="1"/>
      <c r="B140" s="42"/>
      <c r="C140" s="42"/>
      <c r="D140" s="42"/>
      <c r="E140" s="42"/>
      <c r="F140" s="42"/>
    </row>
    <row r="141" spans="1:6" ht="18.75" x14ac:dyDescent="0.3">
      <c r="A141" s="1"/>
      <c r="B141" s="42"/>
      <c r="C141" s="42"/>
      <c r="D141" s="42"/>
      <c r="E141" s="42"/>
      <c r="F141" s="42"/>
    </row>
    <row r="142" spans="1:6" ht="18.75" x14ac:dyDescent="0.3">
      <c r="A142" s="1"/>
      <c r="B142" s="42"/>
      <c r="C142" s="42"/>
      <c r="D142" s="42"/>
      <c r="E142" s="42"/>
      <c r="F142" s="42"/>
    </row>
    <row r="143" spans="1:6" ht="18.75" x14ac:dyDescent="0.3">
      <c r="A143" s="1"/>
      <c r="B143" s="42"/>
      <c r="C143" s="42"/>
      <c r="D143" s="42"/>
      <c r="E143" s="42"/>
      <c r="F143" s="42"/>
    </row>
    <row r="144" spans="1:6" ht="18.75" x14ac:dyDescent="0.3">
      <c r="A144" s="1"/>
      <c r="B144" s="42"/>
      <c r="C144" s="42"/>
      <c r="D144" s="42"/>
      <c r="E144" s="42"/>
      <c r="F144" s="42"/>
    </row>
    <row r="145" spans="1:6" ht="18.75" x14ac:dyDescent="0.3">
      <c r="A145" s="1"/>
      <c r="B145" s="42"/>
      <c r="C145" s="42"/>
      <c r="D145" s="42"/>
      <c r="E145" s="42"/>
      <c r="F145" s="42"/>
    </row>
    <row r="146" spans="1:6" ht="18.75" x14ac:dyDescent="0.3">
      <c r="A146" s="1"/>
      <c r="B146" s="42"/>
      <c r="C146" s="42"/>
      <c r="D146" s="42"/>
      <c r="E146" s="42"/>
      <c r="F146" s="42"/>
    </row>
    <row r="147" spans="1:6" ht="18.75" x14ac:dyDescent="0.3">
      <c r="A147" s="1"/>
      <c r="B147" s="42"/>
      <c r="C147" s="42"/>
      <c r="D147" s="42"/>
      <c r="E147" s="42"/>
      <c r="F147" s="42"/>
    </row>
    <row r="148" spans="1:6" ht="18.75" x14ac:dyDescent="0.3">
      <c r="A148" s="1"/>
      <c r="B148" s="42"/>
      <c r="C148" s="42"/>
      <c r="D148" s="42"/>
      <c r="E148" s="42"/>
      <c r="F148" s="42"/>
    </row>
    <row r="149" spans="1:6" ht="18.75" x14ac:dyDescent="0.3">
      <c r="A149" s="1"/>
      <c r="B149" s="42"/>
      <c r="C149" s="42"/>
      <c r="D149" s="42"/>
      <c r="E149" s="42"/>
      <c r="F149" s="42"/>
    </row>
    <row r="150" spans="1:6" ht="18.75" x14ac:dyDescent="0.3">
      <c r="A150" s="1"/>
      <c r="B150" s="42"/>
      <c r="C150" s="42"/>
      <c r="D150" s="42"/>
      <c r="E150" s="42"/>
      <c r="F150" s="42"/>
    </row>
    <row r="151" spans="1:6" ht="18.75" x14ac:dyDescent="0.3">
      <c r="A151" s="1"/>
      <c r="B151" s="42"/>
      <c r="C151" s="42"/>
      <c r="D151" s="42"/>
      <c r="E151" s="42"/>
      <c r="F151" s="42"/>
    </row>
    <row r="152" spans="1:6" ht="18.75" x14ac:dyDescent="0.3">
      <c r="A152" s="1"/>
      <c r="B152" s="42"/>
      <c r="C152" s="42"/>
      <c r="D152" s="42"/>
      <c r="E152" s="42"/>
      <c r="F152" s="42"/>
    </row>
    <row r="153" spans="1:6" ht="18.75" x14ac:dyDescent="0.3">
      <c r="A153" s="1"/>
      <c r="B153" s="42"/>
      <c r="C153" s="42"/>
      <c r="D153" s="42"/>
      <c r="E153" s="42"/>
      <c r="F153" s="42"/>
    </row>
    <row r="154" spans="1:6" ht="18.75" x14ac:dyDescent="0.3">
      <c r="A154" s="1"/>
      <c r="B154" s="42"/>
      <c r="C154" s="42"/>
      <c r="D154" s="42"/>
      <c r="E154" s="42"/>
      <c r="F154" s="42"/>
    </row>
    <row r="155" spans="1:6" ht="18.75" x14ac:dyDescent="0.3">
      <c r="A155" s="1"/>
      <c r="B155" s="42"/>
      <c r="C155" s="42"/>
      <c r="D155" s="42"/>
      <c r="E155" s="42"/>
      <c r="F155" s="42"/>
    </row>
    <row r="156" spans="1:6" ht="18.75" x14ac:dyDescent="0.3">
      <c r="A156" s="1"/>
      <c r="B156" s="42"/>
      <c r="C156" s="42"/>
      <c r="D156" s="42"/>
      <c r="E156" s="42"/>
      <c r="F156" s="42"/>
    </row>
    <row r="157" spans="1:6" ht="18.75" x14ac:dyDescent="0.3">
      <c r="A157" s="1"/>
      <c r="B157" s="42"/>
      <c r="C157" s="42"/>
      <c r="D157" s="42"/>
      <c r="E157" s="42"/>
      <c r="F157" s="42"/>
    </row>
    <row r="158" spans="1:6" ht="18.75" x14ac:dyDescent="0.3">
      <c r="A158" s="1"/>
      <c r="B158" s="42"/>
      <c r="C158" s="42"/>
      <c r="D158" s="42"/>
      <c r="E158" s="42"/>
      <c r="F158" s="42"/>
    </row>
    <row r="159" spans="1:6" ht="18.75" x14ac:dyDescent="0.3">
      <c r="A159" s="1"/>
      <c r="B159" s="42"/>
      <c r="C159" s="42"/>
      <c r="D159" s="42"/>
      <c r="E159" s="42"/>
      <c r="F159" s="42"/>
    </row>
    <row r="160" spans="1:6" ht="18.75" x14ac:dyDescent="0.3">
      <c r="A160" s="1"/>
      <c r="B160" s="42"/>
      <c r="C160" s="42"/>
      <c r="D160" s="42"/>
      <c r="E160" s="42"/>
      <c r="F160" s="42"/>
    </row>
    <row r="161" spans="1:6" ht="18.75" x14ac:dyDescent="0.3">
      <c r="A161" s="1"/>
      <c r="B161" s="42"/>
      <c r="C161" s="42"/>
      <c r="D161" s="42"/>
      <c r="E161" s="42"/>
      <c r="F161" s="42"/>
    </row>
    <row r="162" spans="1:6" ht="18.75" x14ac:dyDescent="0.3">
      <c r="A162" s="1"/>
      <c r="B162" s="42"/>
      <c r="C162" s="42"/>
      <c r="D162" s="42"/>
      <c r="E162" s="42"/>
      <c r="F162" s="42"/>
    </row>
    <row r="163" spans="1:6" ht="18.75" x14ac:dyDescent="0.3">
      <c r="A163" s="1"/>
      <c r="B163" s="42"/>
      <c r="C163" s="42"/>
      <c r="D163" s="42"/>
      <c r="E163" s="42"/>
      <c r="F163" s="42"/>
    </row>
    <row r="164" spans="1:6" ht="18.75" x14ac:dyDescent="0.3">
      <c r="A164" s="1"/>
      <c r="B164" s="42"/>
      <c r="C164" s="42"/>
      <c r="D164" s="42"/>
      <c r="E164" s="42"/>
      <c r="F164" s="42"/>
    </row>
    <row r="165" spans="1:6" ht="18.75" x14ac:dyDescent="0.3">
      <c r="A165" s="1"/>
      <c r="B165" s="42"/>
      <c r="C165" s="42"/>
      <c r="D165" s="42"/>
      <c r="E165" s="42"/>
      <c r="F165" s="42"/>
    </row>
    <row r="166" spans="1:6" ht="18.75" x14ac:dyDescent="0.3">
      <c r="A166" s="1"/>
      <c r="B166" s="42"/>
      <c r="C166" s="42"/>
      <c r="D166" s="42"/>
      <c r="E166" s="42"/>
      <c r="F166" s="42"/>
    </row>
    <row r="167" spans="1:6" ht="18.75" x14ac:dyDescent="0.3">
      <c r="A167" s="1"/>
      <c r="B167" s="42"/>
      <c r="C167" s="42"/>
      <c r="D167" s="42"/>
      <c r="E167" s="42"/>
      <c r="F167" s="42"/>
    </row>
    <row r="168" spans="1:6" ht="18.75" x14ac:dyDescent="0.3">
      <c r="A168" s="1"/>
      <c r="B168" s="42"/>
      <c r="C168" s="42"/>
      <c r="D168" s="42"/>
      <c r="E168" s="42"/>
      <c r="F168" s="42"/>
    </row>
    <row r="169" spans="1:6" ht="18.75" x14ac:dyDescent="0.3">
      <c r="A169" s="1"/>
      <c r="B169" s="42"/>
      <c r="C169" s="42"/>
      <c r="D169" s="42"/>
      <c r="E169" s="42"/>
      <c r="F169" s="42"/>
    </row>
    <row r="170" spans="1:6" ht="18.75" x14ac:dyDescent="0.3">
      <c r="A170" s="1"/>
      <c r="B170" s="42"/>
      <c r="C170" s="42"/>
      <c r="D170" s="42"/>
      <c r="E170" s="42"/>
      <c r="F170" s="42"/>
    </row>
    <row r="171" spans="1:6" ht="18.75" x14ac:dyDescent="0.3">
      <c r="A171" s="1"/>
      <c r="B171" s="42"/>
      <c r="C171" s="42"/>
      <c r="D171" s="42"/>
      <c r="E171" s="42"/>
      <c r="F171" s="42"/>
    </row>
    <row r="172" spans="1:6" ht="18.75" x14ac:dyDescent="0.3">
      <c r="A172" s="1"/>
      <c r="B172" s="42"/>
      <c r="C172" s="42"/>
      <c r="D172" s="42"/>
      <c r="E172" s="42"/>
      <c r="F172" s="42"/>
    </row>
    <row r="173" spans="1:6" ht="18.75" x14ac:dyDescent="0.3">
      <c r="A173" s="1"/>
      <c r="B173" s="42"/>
      <c r="C173" s="42"/>
      <c r="D173" s="42"/>
      <c r="E173" s="42"/>
      <c r="F173" s="42"/>
    </row>
    <row r="174" spans="1:6" ht="18.75" x14ac:dyDescent="0.3">
      <c r="A174" s="1"/>
      <c r="B174" s="42"/>
      <c r="C174" s="42"/>
      <c r="D174" s="42"/>
      <c r="E174" s="42"/>
      <c r="F174" s="42"/>
    </row>
    <row r="175" spans="1:6" ht="18.75" x14ac:dyDescent="0.3">
      <c r="A175" s="1"/>
      <c r="B175" s="42"/>
      <c r="C175" s="42"/>
      <c r="D175" s="42"/>
      <c r="E175" s="42"/>
      <c r="F175" s="42"/>
    </row>
    <row r="176" spans="1:6" ht="18.75" x14ac:dyDescent="0.3">
      <c r="A176" s="1"/>
      <c r="B176" s="42"/>
      <c r="C176" s="42"/>
      <c r="D176" s="42"/>
      <c r="E176" s="42"/>
      <c r="F176" s="42"/>
    </row>
    <row r="177" spans="1:6" ht="18.75" x14ac:dyDescent="0.3">
      <c r="A177" s="1"/>
      <c r="B177" s="42"/>
      <c r="C177" s="42"/>
      <c r="D177" s="42"/>
      <c r="E177" s="42"/>
      <c r="F177" s="42"/>
    </row>
    <row r="178" spans="1:6" ht="18.75" x14ac:dyDescent="0.3">
      <c r="A178" s="1"/>
      <c r="B178" s="42"/>
      <c r="C178" s="42"/>
      <c r="D178" s="42"/>
      <c r="E178" s="42"/>
      <c r="F178" s="42"/>
    </row>
    <row r="179" spans="1:6" ht="18.75" x14ac:dyDescent="0.3">
      <c r="A179" s="1"/>
      <c r="B179" s="42"/>
      <c r="C179" s="42"/>
      <c r="D179" s="42"/>
      <c r="E179" s="42"/>
      <c r="F179" s="42"/>
    </row>
    <row r="180" spans="1:6" ht="18.75" x14ac:dyDescent="0.3">
      <c r="A180" s="1"/>
      <c r="B180" s="42"/>
      <c r="C180" s="42"/>
      <c r="D180" s="42"/>
      <c r="E180" s="42"/>
      <c r="F180" s="42"/>
    </row>
    <row r="181" spans="1:6" ht="18.75" x14ac:dyDescent="0.3">
      <c r="A181" s="1"/>
      <c r="B181" s="42"/>
      <c r="C181" s="42"/>
      <c r="D181" s="42"/>
      <c r="E181" s="42"/>
      <c r="F181" s="42"/>
    </row>
    <row r="182" spans="1:6" ht="18.75" x14ac:dyDescent="0.3">
      <c r="A182" s="1"/>
      <c r="B182" s="42"/>
      <c r="C182" s="42"/>
      <c r="D182" s="42"/>
      <c r="E182" s="42"/>
      <c r="F182" s="42"/>
    </row>
    <row r="183" spans="1:6" ht="18.75" x14ac:dyDescent="0.3">
      <c r="A183" s="1"/>
      <c r="B183" s="42"/>
      <c r="C183" s="42"/>
      <c r="D183" s="42"/>
      <c r="E183" s="42"/>
      <c r="F183" s="42"/>
    </row>
    <row r="184" spans="1:6" ht="18.75" x14ac:dyDescent="0.3">
      <c r="A184" s="1"/>
      <c r="B184" s="42"/>
      <c r="C184" s="42"/>
      <c r="D184" s="42"/>
      <c r="E184" s="42"/>
      <c r="F184" s="42"/>
    </row>
    <row r="185" spans="1:6" ht="18.75" x14ac:dyDescent="0.3">
      <c r="A185" s="1"/>
      <c r="B185" s="42"/>
      <c r="C185" s="42"/>
      <c r="D185" s="42"/>
      <c r="E185" s="42"/>
      <c r="F185" s="42"/>
    </row>
    <row r="186" spans="1:6" ht="18.75" x14ac:dyDescent="0.3">
      <c r="A186" s="1"/>
      <c r="B186" s="42"/>
      <c r="C186" s="42"/>
      <c r="D186" s="42"/>
      <c r="E186" s="42"/>
      <c r="F186" s="42"/>
    </row>
    <row r="187" spans="1:6" ht="18.75" x14ac:dyDescent="0.3">
      <c r="A187" s="1"/>
      <c r="B187" s="42"/>
      <c r="C187" s="42"/>
      <c r="D187" s="42"/>
      <c r="E187" s="42"/>
      <c r="F187" s="42"/>
    </row>
    <row r="188" spans="1:6" ht="18.75" x14ac:dyDescent="0.3">
      <c r="A188" s="1"/>
      <c r="B188" s="42"/>
      <c r="C188" s="42"/>
      <c r="D188" s="42"/>
      <c r="E188" s="42"/>
      <c r="F188" s="42"/>
    </row>
    <row r="189" spans="1:6" ht="18.75" x14ac:dyDescent="0.3">
      <c r="A189" s="1"/>
      <c r="B189" s="42"/>
      <c r="C189" s="42"/>
      <c r="D189" s="42"/>
      <c r="E189" s="42"/>
      <c r="F189" s="42"/>
    </row>
    <row r="190" spans="1:6" ht="18.75" x14ac:dyDescent="0.3">
      <c r="A190" s="1"/>
      <c r="B190" s="42"/>
      <c r="C190" s="42"/>
      <c r="D190" s="42"/>
      <c r="E190" s="42"/>
      <c r="F190" s="42"/>
    </row>
    <row r="191" spans="1:6" ht="18.75" x14ac:dyDescent="0.3">
      <c r="A191" s="1"/>
      <c r="B191" s="42"/>
      <c r="C191" s="42"/>
      <c r="D191" s="42"/>
      <c r="E191" s="42"/>
      <c r="F191" s="42"/>
    </row>
    <row r="192" spans="1:6" ht="18.75" x14ac:dyDescent="0.3">
      <c r="A192" s="1"/>
      <c r="B192" s="42"/>
      <c r="C192" s="42"/>
      <c r="D192" s="42"/>
      <c r="E192" s="42"/>
      <c r="F192" s="42"/>
    </row>
    <row r="193" spans="1:6" ht="18.75" x14ac:dyDescent="0.3">
      <c r="A193" s="1"/>
      <c r="B193" s="42"/>
      <c r="C193" s="42"/>
      <c r="D193" s="42"/>
      <c r="E193" s="42"/>
      <c r="F193" s="42"/>
    </row>
    <row r="194" spans="1:6" ht="18.75" x14ac:dyDescent="0.3">
      <c r="A194" s="1"/>
      <c r="B194" s="42"/>
      <c r="C194" s="42"/>
      <c r="D194" s="42"/>
      <c r="E194" s="42"/>
      <c r="F194" s="42"/>
    </row>
    <row r="195" spans="1:6" ht="18.75" x14ac:dyDescent="0.3">
      <c r="A195" s="1"/>
      <c r="B195" s="42"/>
      <c r="C195" s="42"/>
      <c r="D195" s="42"/>
      <c r="E195" s="42"/>
      <c r="F195" s="42"/>
    </row>
    <row r="196" spans="1:6" ht="18.75" x14ac:dyDescent="0.3">
      <c r="A196" s="1"/>
      <c r="B196" s="42"/>
      <c r="C196" s="42"/>
      <c r="D196" s="42"/>
      <c r="E196" s="42"/>
      <c r="F196" s="42"/>
    </row>
    <row r="197" spans="1:6" ht="18.75" x14ac:dyDescent="0.3">
      <c r="A197" s="1"/>
      <c r="B197" s="42"/>
      <c r="C197" s="42"/>
      <c r="D197" s="42"/>
      <c r="E197" s="42"/>
      <c r="F197" s="42"/>
    </row>
    <row r="198" spans="1:6" ht="18.75" x14ac:dyDescent="0.3">
      <c r="A198" s="1"/>
      <c r="B198" s="42"/>
      <c r="C198" s="42"/>
      <c r="D198" s="42"/>
      <c r="E198" s="42"/>
      <c r="F198" s="42"/>
    </row>
    <row r="199" spans="1:6" ht="18.75" x14ac:dyDescent="0.3">
      <c r="A199" s="1"/>
      <c r="B199" s="42"/>
      <c r="C199" s="42"/>
      <c r="D199" s="42"/>
      <c r="E199" s="42"/>
      <c r="F199" s="42"/>
    </row>
    <row r="200" spans="1:6" ht="18.75" x14ac:dyDescent="0.3">
      <c r="A200" s="1"/>
      <c r="B200" s="42"/>
      <c r="C200" s="42"/>
      <c r="D200" s="42"/>
      <c r="E200" s="42"/>
      <c r="F200" s="42"/>
    </row>
    <row r="201" spans="1:6" ht="18.75" x14ac:dyDescent="0.3">
      <c r="A201" s="1"/>
      <c r="B201" s="42"/>
      <c r="C201" s="42"/>
      <c r="D201" s="42"/>
      <c r="E201" s="42"/>
      <c r="F201" s="42"/>
    </row>
    <row r="202" spans="1:6" ht="18.75" x14ac:dyDescent="0.3">
      <c r="A202" s="1"/>
      <c r="B202" s="42"/>
      <c r="C202" s="42"/>
      <c r="D202" s="42"/>
      <c r="E202" s="42"/>
      <c r="F202" s="42"/>
    </row>
    <row r="203" spans="1:6" ht="18.75" x14ac:dyDescent="0.3">
      <c r="A203" s="1"/>
      <c r="B203" s="42"/>
      <c r="C203" s="42"/>
      <c r="D203" s="42"/>
      <c r="E203" s="42"/>
      <c r="F203" s="42"/>
    </row>
    <row r="204" spans="1:6" ht="18.75" x14ac:dyDescent="0.3">
      <c r="A204" s="1"/>
      <c r="B204" s="42"/>
      <c r="C204" s="42"/>
      <c r="D204" s="42"/>
      <c r="E204" s="42"/>
      <c r="F204" s="42"/>
    </row>
    <row r="205" spans="1:6" ht="18.75" x14ac:dyDescent="0.3">
      <c r="A205" s="1"/>
      <c r="B205" s="42"/>
      <c r="C205" s="42"/>
      <c r="D205" s="42"/>
      <c r="E205" s="42"/>
      <c r="F205" s="42"/>
    </row>
  </sheetData>
  <mergeCells count="1">
    <mergeCell ref="E49:F49"/>
  </mergeCells>
  <hyperlinks>
    <hyperlink ref="B1" location="Index!A1" display="Home Index (click here)" xr:uid="{56A67CB4-889D-4B1A-AE08-F926ED04838F}"/>
  </hyperlinks>
  <pageMargins left="0.49" right="0.33" top="0.47" bottom="0.41" header="0.3" footer="0.3"/>
  <pageSetup paperSize="9" scale="71" fitToHeight="0"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18</vt:i4>
      </vt:variant>
      <vt:variant>
        <vt:lpstr>Named Ranges</vt:lpstr>
      </vt:variant>
      <vt:variant>
        <vt:i4>2</vt:i4>
      </vt:variant>
    </vt:vector>
  </HeadingPairs>
  <TitlesOfParts>
    <vt:vector size="20" baseType="lpstr">
      <vt:lpstr>Index</vt:lpstr>
      <vt:lpstr> - FS </vt:lpstr>
      <vt:lpstr>EBITDA</vt:lpstr>
      <vt:lpstr>FS with Schedules</vt:lpstr>
      <vt:lpstr> - CFS</vt:lpstr>
      <vt:lpstr>Imp Note</vt:lpstr>
      <vt:lpstr>FCFF (Unlevered)</vt:lpstr>
      <vt:lpstr>FCFE (Levered)</vt:lpstr>
      <vt:lpstr>WACC</vt:lpstr>
      <vt:lpstr> Ratios </vt:lpstr>
      <vt:lpstr>Dashboard</vt:lpstr>
      <vt:lpstr>Resource</vt:lpstr>
      <vt:lpstr>Funds Flow - 23 Vs 24</vt:lpstr>
      <vt:lpstr>FFS 2024</vt:lpstr>
      <vt:lpstr>WC Calcn</vt:lpstr>
      <vt:lpstr>Flash Report CFO Dashboard</vt:lpstr>
      <vt:lpstr>Projections</vt:lpstr>
      <vt:lpstr>Old Funds Flow (incorrect)</vt:lpstr>
      <vt:lpstr>Dashboard!Print_Area</vt:lpstr>
      <vt:lpstr>'FS with Schedules'!Print_Titles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Tareq</dc:creator>
  <cp:lastModifiedBy>LENOVO</cp:lastModifiedBy>
  <cp:lastPrinted>2024-10-20T06:09:23Z</cp:lastPrinted>
  <dcterms:created xsi:type="dcterms:W3CDTF">2022-10-03T16:44:40Z</dcterms:created>
  <dcterms:modified xsi:type="dcterms:W3CDTF">2026-09-30T18:09:28Z</dcterms:modified>
</cp:coreProperties>
</file>